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1593091664423d" /></Relationships>
</file>

<file path=xl/workbook.xml><?xml version="1.0" encoding="utf-8"?>
<x:workbook xmlns:x="http://schemas.openxmlformats.org/spreadsheetml/2006/main">
  <x:sheets>
    <x:sheet xmlns:r="http://schemas.openxmlformats.org/officeDocument/2006/relationships" name="Start Here" sheetId="1" r:id="R364cf9da67b6484d"/>
    <x:sheet xmlns:r="http://schemas.openxmlformats.org/officeDocument/2006/relationships" name="Demo Shift Entries" sheetId="2" r:id="Rf634f3a2149b4a37"/>
    <x:sheet xmlns:r="http://schemas.openxmlformats.org/officeDocument/2006/relationships" name="Dashboard" sheetId="3" r:id="R927f49c67a324d7f"/>
    <x:sheet xmlns:r="http://schemas.openxmlformats.org/officeDocument/2006/relationships" name="QA Evidence" sheetId="4" r:id="R42585d5403394fc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
    <x:numFmt numFmtId="202" formatCode="&quot;$&quot;#,##0.00"/>
    <x:numFmt numFmtId="203" formatCode="0.0%"/>
    <x:numFmt numFmtId="204" formatCode="0"/>
    <x:numFmt numFmtId="205" formatCode="0%"/>
  </x:numFmts>
  <x:fonts count="30">
    <x:font>
      <x:sz val="11"/>
      <x:name val="Carlito"/>
    </x:font>
    <x:font>
      <x:b/>
      <x:sz val="20"/>
      <x:color rgb="FFFFFFFF"/>
      <x:name val="Carlito"/>
    </x:font>
    <x:font>
      <x:i/>
      <x:sz val="11"/>
      <x:color rgb="FF667085"/>
      <x:name val="Carlito"/>
    </x:font>
    <x:font>
      <x:b/>
      <x:sz val="12"/>
      <x:color rgb="FF1E3A5F"/>
      <x:name val="Carlito"/>
    </x:font>
    <x:font>
      <x:sz val="11"/>
      <x:color rgb="FF222222"/>
      <x:name val="Carlito"/>
    </x:font>
    <x:font>
      <x:b/>
      <x:sz val="11"/>
      <x:color rgb="FF7A4E00"/>
      <x:name val="Carlito"/>
    </x:font>
    <x:font>
      <x:b/>
      <x:sz val="11"/>
      <x:color rgb="FFFFFFFF"/>
      <x:name val="Carlito"/>
    </x:font>
    <x:font>
      <x:sz val="10"/>
      <x:color rgb="FF222222"/>
      <x:name val="Carlito"/>
    </x:font>
    <x:font>
      <x:b/>
      <x:sz val="20"/>
      <x:color rgb="FFFFFFFF"/>
      <x:name val="Arial"/>
    </x:font>
    <x:font>
      <x:i/>
      <x:sz val="11"/>
      <x:color rgb="FF667085"/>
      <x:name val="Arial"/>
    </x:font>
    <x:font>
      <x:sz val="11"/>
      <x:name val="Arial"/>
    </x:font>
    <x:font>
      <x:b/>
      <x:sz val="12"/>
      <x:color rgb="FF1E3A5F"/>
      <x:name val="Arial"/>
    </x:font>
    <x:font>
      <x:sz val="11"/>
      <x:color rgb="FF222222"/>
      <x:name val="Arial"/>
    </x:font>
    <x:font>
      <x:b/>
      <x:sz val="11"/>
      <x:color rgb="FF7A4E00"/>
      <x:name val="Arial"/>
    </x:font>
    <x:font>
      <x:b/>
      <x:sz val="11"/>
      <x:color rgb="FFFFFFFF"/>
      <x:name val="Arial"/>
    </x:font>
    <x:font>
      <x:sz val="10"/>
      <x:color rgb="FF222222"/>
      <x:name val="Arial"/>
    </x:font>
    <x:font>
      <x:i/>
      <x:sz val="10"/>
      <x:color rgb="FF667085"/>
      <x:name val="Carlito"/>
    </x:font>
    <x:font>
      <x:b/>
      <x:sz val="9"/>
      <x:color rgb="FFFFFFFF"/>
      <x:name val="Carlito"/>
    </x:font>
    <x:font>
      <x:sz val="9"/>
      <x:color rgb="FF222222"/>
      <x:name val="Carlito"/>
    </x:font>
    <x:font>
      <x:b/>
      <x:sz val="9"/>
      <x:color rgb="FF1E3A5F"/>
      <x:name val="Carlito"/>
    </x:font>
    <x:font>
      <x:i/>
      <x:sz val="10"/>
      <x:color rgb="FF667085"/>
      <x:name val="Arial"/>
    </x:font>
    <x:font>
      <x:b/>
      <x:sz val="9"/>
      <x:color rgb="FFFFFFFF"/>
      <x:name val="Arial"/>
    </x:font>
    <x:font>
      <x:sz val="9"/>
      <x:color rgb="FF222222"/>
      <x:name val="Arial"/>
    </x:font>
    <x:font>
      <x:b/>
      <x:sz val="9"/>
      <x:color rgb="FF1E3A5F"/>
      <x:name val="Arial"/>
    </x:font>
    <x:font>
      <x:b/>
      <x:sz val="10"/>
      <x:color rgb="FF1E3A5F"/>
      <x:name val="Carlito"/>
    </x:font>
    <x:font>
      <x:b/>
      <x:sz val="18"/>
      <x:color rgb="FF222222"/>
      <x:name val="Carlito"/>
    </x:font>
    <x:font>
      <x:b/>
      <x:sz val="10"/>
      <x:color rgb="FF1E3A5F"/>
      <x:name val="Arial"/>
    </x:font>
    <x:font>
      <x:b/>
      <x:sz val="18"/>
      <x:color rgb="FF222222"/>
      <x:name val="Arial"/>
    </x:font>
    <x:font>
      <x:b/>
      <x:sz val="9"/>
      <x:color rgb="FF222222"/>
      <x:name val="Carlito"/>
    </x:font>
    <x:font>
      <x:b/>
      <x:sz val="9"/>
      <x:color rgb="FF222222"/>
      <x:name val="Arial"/>
    </x:font>
  </x:fonts>
  <x:fills count="8">
    <x:fill>
      <x:patternFill patternType="none"/>
    </x:fill>
    <x:fill>
      <x:patternFill patternType="gray125"/>
    </x:fill>
    <x:fill>
      <x:patternFill patternType="solid">
        <x:fgColor rgb="FF1E3A5F"/>
      </x:patternFill>
    </x:fill>
    <x:fill>
      <x:patternFill patternType="solid">
        <x:fgColor rgb="FFF7F7F5"/>
      </x:patternFill>
    </x:fill>
    <x:fill>
      <x:patternFill patternType="solid">
        <x:fgColor rgb="FFD9F2F2"/>
      </x:patternFill>
    </x:fill>
    <x:fill>
      <x:patternFill patternType="solid">
        <x:fgColor rgb="FFFFFFFF"/>
      </x:patternFill>
    </x:fill>
    <x:fill>
      <x:patternFill patternType="solid">
        <x:fgColor rgb="FFFFF4E5"/>
      </x:patternFill>
    </x:fill>
    <x:fill>
      <x:patternFill patternType="solid">
        <x:fgColor rgb="FF2F9E9E"/>
      </x:patternFill>
    </x:fill>
  </x:fills>
  <x:borders count="32">
    <x:border/>
    <x:border>
      <x:left style="thin">
        <x:color rgb="FFE6E9EC"/>
      </x:left>
      <x:top style="thin">
        <x:color rgb="FFE6E9EC"/>
      </x:top>
    </x:border>
    <x:border>
      <x:top style="thin">
        <x:color rgb="FFE6E9EC"/>
      </x:top>
    </x:border>
    <x:border>
      <x:right style="thin">
        <x:color rgb="FFE6E9EC"/>
      </x:right>
      <x:top style="thin">
        <x:color rgb="FFE6E9EC"/>
      </x:top>
    </x:border>
    <x:border>
      <x:left style="thin">
        <x:color rgb="FFE6E9EC"/>
      </x:left>
    </x:border>
    <x:border>
      <x:right style="thin">
        <x:color rgb="FFE6E9EC"/>
      </x:right>
    </x:border>
    <x:border>
      <x:left style="thin">
        <x:color rgb="FFE6E9EC"/>
      </x:left>
      <x:bottom style="thin">
        <x:color rgb="FFE6E9EC"/>
      </x:bottom>
    </x:border>
    <x:border>
      <x:bottom style="thin">
        <x:color rgb="FFE6E9EC"/>
      </x:bottom>
    </x:border>
    <x:border>
      <x:right style="thin">
        <x:color rgb="FFE6E9EC"/>
      </x:right>
      <x:bottom style="thin">
        <x:color rgb="FFE6E9EC"/>
      </x:bottom>
    </x:border>
    <x:border>
      <x:left style="thin">
        <x:color rgb="FFE5A94D"/>
      </x:left>
      <x:top style="thin">
        <x:color rgb="FFE5A94D"/>
      </x:top>
    </x:border>
    <x:border>
      <x:top style="thin">
        <x:color rgb="FFE5A94D"/>
      </x:top>
    </x:border>
    <x:border>
      <x:right style="thin">
        <x:color rgb="FFE5A94D"/>
      </x:right>
      <x:top style="thin">
        <x:color rgb="FFE5A94D"/>
      </x:top>
    </x:border>
    <x:border>
      <x:left style="thin">
        <x:color rgb="FFE5A94D"/>
      </x:left>
    </x:border>
    <x:border>
      <x:right style="thin">
        <x:color rgb="FFE5A94D"/>
      </x:right>
    </x:border>
    <x:border>
      <x:left style="thin">
        <x:color rgb="FFE5A94D"/>
      </x:left>
      <x:bottom style="thin">
        <x:color rgb="FFE5A94D"/>
      </x:bottom>
    </x:border>
    <x:border>
      <x:bottom style="thin">
        <x:color rgb="FFE5A94D"/>
      </x:bottom>
    </x:border>
    <x:border>
      <x:right style="thin">
        <x:color rgb="FFE5A94D"/>
      </x:right>
      <x:bottom style="thin">
        <x:color rgb="FFE5A94D"/>
      </x:bottom>
    </x:border>
    <x:border>
      <x:right style="thin">
        <x:color rgb="FFFFFFFF"/>
      </x:right>
    </x:border>
    <x:border>
      <x:left style="thin">
        <x:color rgb="FFFFFFFF"/>
      </x:left>
      <x:right style="thin">
        <x:color rgb="FFFFFFFF"/>
      </x:right>
    </x:border>
    <x:border>
      <x:left style="thin">
        <x:color rgb="FFFFFFFF"/>
      </x:left>
    </x:border>
    <x:border>
      <x:top style="thin">
        <x:color rgb="FFE6E9EC"/>
      </x:top>
      <x:bottom style="thin">
        <x:color rgb="FFE6E9EC"/>
      </x:bottom>
    </x:border>
    <x:border>
      <x:left style="thin">
        <x:color rgb="FF2F9E9E"/>
      </x:left>
      <x:top style="thin">
        <x:color rgb="FF2F9E9E"/>
      </x:top>
      <x:bottom style="thin">
        <x:color rgb="FF2F9E9E"/>
      </x:bottom>
    </x:border>
    <x:border>
      <x:right style="thin">
        <x:color rgb="FF2F9E9E"/>
      </x:right>
      <x:top style="thin">
        <x:color rgb="FF2F9E9E"/>
      </x:top>
      <x:bottom style="thin">
        <x:color rgb="FF2F9E9E"/>
      </x:bottom>
    </x:border>
    <x:border>
      <x:left style="thin">
        <x:color rgb="FF2F9E9E"/>
      </x:left>
      <x:top style="thin">
        <x:color rgb="FF2F9E9E"/>
      </x:top>
    </x:border>
    <x:border>
      <x:right style="thin">
        <x:color rgb="FF2F9E9E"/>
      </x:right>
      <x:top style="thin">
        <x:color rgb="FF2F9E9E"/>
      </x:top>
    </x:border>
    <x:border>
      <x:left style="thin">
        <x:color rgb="FF2F9E9E"/>
      </x:left>
      <x:bottom style="thin">
        <x:color rgb="FF2F9E9E"/>
      </x:bottom>
    </x:border>
    <x:border>
      <x:right style="thin">
        <x:color rgb="FF2F9E9E"/>
      </x:right>
      <x:bottom style="thin">
        <x:color rgb="FF2F9E9E"/>
      </x:bottom>
    </x:border>
    <x:border>
      <x:left style="thin">
        <x:color rgb="FFE6E9EC"/>
      </x:left>
      <x:right style="thin">
        <x:color rgb="FFE6E9EC"/>
      </x:right>
      <x:bottom style="thin">
        <x:color rgb="FFE6E9EC"/>
      </x:bottom>
    </x:border>
    <x:border>
      <x:right style="thin">
        <x:color rgb="FFE6E9EC"/>
      </x:right>
      <x:top style="thin">
        <x:color rgb="FFE6E9EC"/>
      </x:top>
      <x:bottom style="thin">
        <x:color rgb="FFE6E9EC"/>
      </x:bottom>
    </x:border>
    <x:border>
      <x:left style="thin">
        <x:color rgb="FFE6E9EC"/>
      </x:left>
      <x:right style="thin">
        <x:color rgb="FFE6E9EC"/>
      </x:right>
      <x:top style="thin">
        <x:color rgb="FFE6E9EC"/>
      </x:top>
      <x:bottom style="thin">
        <x:color rgb="FFE6E9EC"/>
      </x:bottom>
    </x:border>
    <x:border>
      <x:left style="thin">
        <x:color rgb="FFE6E9EC"/>
      </x:left>
      <x:top style="thin">
        <x:color rgb="FFE6E9EC"/>
      </x:top>
      <x:bottom style="thin">
        <x:color rgb="FFE6E9EC"/>
      </x:bottom>
    </x:border>
    <x:border>
      <x:left style="thin">
        <x:color rgb="FFE6E9EC"/>
      </x:left>
      <x:right style="thin">
        <x:color rgb="FFE6E9EC"/>
      </x:right>
      <x:top style="thin">
        <x:color rgb="FFE6E9EC"/>
      </x:top>
    </x:border>
  </x:borders>
  <x:cellStyleXfs count="1">
    <x:xf numFmtId="0" fontId="0" fillId="0" borderId="0"/>
  </x:cellStyleXfs>
  <x:cellXfs count="3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15" xfId="0" applyNumberFormat="1" applyFont="1" applyFill="1" applyBorder="1"/>
    <x:xf numFmtId="0" fontId="5" fillId="6" borderId="16" xfId="0" applyNumberFormat="1" applyFont="1" applyFill="1" applyBorder="1"/>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6" xfId="0" applyNumberFormat="1" applyFont="1" applyFill="1" applyBorder="1" applyAlignment="1">
      <x:alignment wrapText="1"/>
    </x:xf>
    <x:xf numFmtId="0" fontId="5" fillId="6" borderId="9"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3"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16"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1" xfId="0" applyNumberFormat="1" applyFont="1" applyFill="1" applyBorder="1" applyAlignment="1">
      <x:alignment wrapText="1"/>
    </x:xf>
    <x:xf numFmtId="0" fontId="7" fillId="5" borderId="2" xfId="0" applyNumberFormat="1" applyFont="1" applyFill="1" applyBorder="1" applyAlignment="1">
      <x:alignment wrapText="1"/>
    </x:xf>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1" xfId="0" applyNumberFormat="1" applyFont="1" applyFill="1" applyBorder="1" applyAlignment="1">
      <x:alignment vertical="center" wrapText="1"/>
    </x:xf>
    <x:xf numFmtId="0" fontId="7" fillId="5" borderId="2"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7" fillId="5" borderId="4"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5" xfId="0" applyNumberFormat="1" applyFont="1" applyFill="1" applyBorder="1" applyAlignment="1">
      <x:alignment vertical="center" wrapText="1"/>
    </x:xf>
    <x:xf numFmtId="0" fontId="7" fillId="5" borderId="6" xfId="0" applyNumberFormat="1" applyFont="1" applyFill="1" applyBorder="1" applyAlignment="1">
      <x:alignment vertical="center" wrapText="1"/>
    </x:xf>
    <x:xf numFmtId="0" fontId="7" fillId="5" borderId="7" xfId="0" applyNumberFormat="1" applyFont="1" applyFill="1" applyBorder="1" applyAlignment="1">
      <x:alignment vertical="center" wrapText="1"/>
    </x:xf>
    <x:xf numFmtId="0" fontId="7" fillId="5" borderId="8"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9" fillId="3" borderId="0" xfId="0" applyNumberFormat="1" applyFont="1" applyFill="1" applyBorder="1" applyAlignment="1">
      <x:alignment horizontal="center"/>
    </x:xf>
    <x:xf numFmtId="0" fontId="10" fillId="0" borderId="0" xfId="0" applyNumberFormat="1" applyFont="1" applyFill="1" applyBorder="1"/>
    <x:xf numFmtId="0" fontId="11" fillId="4" borderId="0" xfId="0" applyNumberFormat="1" applyFont="1" applyFill="1" applyBorder="1" applyAlignment="1">
      <x:alignment vertical="center"/>
    </x:xf>
    <x:xf numFmtId="0" fontId="12" fillId="5" borderId="1" xfId="0" applyNumberFormat="1" applyFont="1" applyFill="1" applyBorder="1" applyAlignment="1">
      <x:alignment vertical="top" wrapText="1"/>
    </x:xf>
    <x:xf numFmtId="0" fontId="12" fillId="5" borderId="2" xfId="0" applyNumberFormat="1" applyFont="1" applyFill="1" applyBorder="1" applyAlignment="1">
      <x:alignment vertical="top" wrapText="1"/>
    </x:xf>
    <x:xf numFmtId="0" fontId="12" fillId="5" borderId="3" xfId="0" applyNumberFormat="1" applyFont="1" applyFill="1" applyBorder="1" applyAlignment="1">
      <x:alignment vertical="top" wrapText="1"/>
    </x:xf>
    <x:xf numFmtId="0" fontId="12" fillId="5" borderId="4" xfId="0" applyNumberFormat="1" applyFont="1" applyFill="1" applyBorder="1" applyAlignment="1">
      <x:alignment vertical="top" wrapText="1"/>
    </x:xf>
    <x:xf numFmtId="0" fontId="12" fillId="5" borderId="0" xfId="0" applyNumberFormat="1" applyFont="1" applyFill="1" applyBorder="1" applyAlignment="1">
      <x:alignment vertical="top" wrapText="1"/>
    </x:xf>
    <x:xf numFmtId="0" fontId="12" fillId="5" borderId="5"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12" fillId="5" borderId="7" xfId="0" applyNumberFormat="1" applyFont="1" applyFill="1" applyBorder="1" applyAlignment="1">
      <x:alignment vertical="top" wrapText="1"/>
    </x:xf>
    <x:xf numFmtId="0" fontId="12" fillId="5" borderId="8" xfId="0" applyNumberFormat="1" applyFont="1" applyFill="1" applyBorder="1" applyAlignment="1">
      <x:alignment vertical="top" wrapText="1"/>
    </x:xf>
    <x:xf numFmtId="0" fontId="13" fillId="6" borderId="9" xfId="0" applyNumberFormat="1" applyFont="1" applyFill="1" applyBorder="1" applyAlignment="1">
      <x:alignment vertical="top" wrapText="1"/>
    </x:xf>
    <x:xf numFmtId="0" fontId="13" fillId="6" borderId="10" xfId="0" applyNumberFormat="1" applyFont="1" applyFill="1" applyBorder="1" applyAlignment="1">
      <x:alignment vertical="top" wrapText="1"/>
    </x:xf>
    <x:xf numFmtId="0" fontId="13" fillId="6" borderId="11" xfId="0" applyNumberFormat="1" applyFont="1" applyFill="1" applyBorder="1" applyAlignment="1">
      <x:alignment vertical="top" wrapText="1"/>
    </x:xf>
    <x:xf numFmtId="0" fontId="13" fillId="6" borderId="12" xfId="0" applyNumberFormat="1" applyFont="1" applyFill="1" applyBorder="1" applyAlignment="1">
      <x:alignment vertical="top" wrapText="1"/>
    </x:xf>
    <x:xf numFmtId="0" fontId="13" fillId="6" borderId="0" xfId="0" applyNumberFormat="1" applyFont="1" applyFill="1" applyBorder="1" applyAlignment="1">
      <x:alignment vertical="top" wrapText="1"/>
    </x:xf>
    <x:xf numFmtId="0" fontId="13" fillId="6" borderId="13" xfId="0" applyNumberFormat="1" applyFont="1" applyFill="1" applyBorder="1" applyAlignment="1">
      <x:alignment vertical="top" wrapText="1"/>
    </x:xf>
    <x:xf numFmtId="0" fontId="13" fillId="6" borderId="14" xfId="0" applyNumberFormat="1" applyFont="1" applyFill="1" applyBorder="1" applyAlignment="1">
      <x:alignment vertical="top" wrapText="1"/>
    </x:xf>
    <x:xf numFmtId="0" fontId="13" fillId="6" borderId="15" xfId="0" applyNumberFormat="1" applyFont="1" applyFill="1" applyBorder="1" applyAlignment="1">
      <x:alignment vertical="top" wrapText="1"/>
    </x:xf>
    <x:xf numFmtId="0" fontId="13" fillId="6" borderId="16" xfId="0" applyNumberFormat="1" applyFont="1" applyFill="1" applyBorder="1" applyAlignment="1">
      <x:alignment vertical="top" wrapText="1"/>
    </x:xf>
    <x:xf numFmtId="0" fontId="14" fillId="7" borderId="0" xfId="0" applyNumberFormat="1" applyFont="1" applyFill="1" applyBorder="1" applyAlignment="1">
      <x:alignment horizontal="center" vertical="center"/>
    </x:xf>
    <x:xf numFmtId="0" fontId="15" fillId="5" borderId="1" xfId="0" applyNumberFormat="1" applyFont="1" applyFill="1" applyBorder="1" applyAlignment="1">
      <x:alignment vertical="center" wrapText="1"/>
    </x:xf>
    <x:xf numFmtId="0" fontId="15" fillId="5" borderId="2" xfId="0" applyNumberFormat="1" applyFont="1" applyFill="1" applyBorder="1" applyAlignment="1">
      <x:alignment vertical="center" wrapText="1"/>
    </x:xf>
    <x:xf numFmtId="0" fontId="15" fillId="5" borderId="3" xfId="0" applyNumberFormat="1" applyFont="1" applyFill="1" applyBorder="1" applyAlignment="1">
      <x:alignment vertical="center" wrapText="1"/>
    </x:xf>
    <x:xf numFmtId="0" fontId="15" fillId="5" borderId="4" xfId="0" applyNumberFormat="1" applyFont="1" applyFill="1" applyBorder="1" applyAlignment="1">
      <x:alignment vertical="center" wrapText="1"/>
    </x:xf>
    <x:xf numFmtId="0" fontId="15" fillId="5" borderId="0" xfId="0" applyNumberFormat="1" applyFont="1" applyFill="1" applyBorder="1" applyAlignment="1">
      <x:alignment vertical="center" wrapText="1"/>
    </x:xf>
    <x:xf numFmtId="0" fontId="15" fillId="5" borderId="5" xfId="0" applyNumberFormat="1" applyFont="1" applyFill="1" applyBorder="1" applyAlignment="1">
      <x:alignment vertical="center" wrapText="1"/>
    </x:xf>
    <x:xf numFmtId="0" fontId="15" fillId="5" borderId="6" xfId="0" applyNumberFormat="1" applyFont="1" applyFill="1" applyBorder="1" applyAlignment="1">
      <x:alignment vertical="center" wrapText="1"/>
    </x:xf>
    <x:xf numFmtId="0" fontId="15" fillId="5" borderId="7" xfId="0" applyNumberFormat="1" applyFont="1" applyFill="1" applyBorder="1" applyAlignment="1">
      <x:alignment vertical="center" wrapText="1"/>
    </x:xf>
    <x:xf numFmtId="0" fontId="15" fillId="5" borderId="8" xfId="0" applyNumberFormat="1" applyFont="1" applyFill="1" applyBorder="1" applyAlignment="1">
      <x:alignment vertical="center" wrapText="1"/>
    </x:xf>
    <x:xf numFmtId="0" fontId="16" fillId="3" borderId="0" xfId="0" applyNumberFormat="1" applyFont="1" applyFill="1" applyBorder="1"/>
    <x:xf numFmtId="0" fontId="16" fillId="3" borderId="0" xfId="0" applyNumberFormat="1" applyFont="1" applyFill="1" applyBorder="1" applyAlignment="1">
      <x:alignment horizontal="center"/>
    </x:xf>
    <x:xf numFmtId="0" fontId="17" fillId="2" borderId="0" xfId="0" applyNumberFormat="1" applyFont="1" applyFill="1" applyBorder="1"/>
    <x:xf numFmtId="0" fontId="17" fillId="2" borderId="17" xfId="0" applyNumberFormat="1" applyFont="1" applyFill="1" applyBorder="1"/>
    <x:xf numFmtId="0" fontId="17" fillId="2" borderId="18" xfId="0" applyNumberFormat="1" applyFont="1" applyFill="1" applyBorder="1"/>
    <x:xf numFmtId="0" fontId="17" fillId="2" borderId="19" xfId="0" applyNumberFormat="1" applyFont="1" applyFill="1" applyBorder="1"/>
    <x:xf numFmtId="0" fontId="17" fillId="2" borderId="17" xfId="0" applyNumberFormat="1" applyFont="1" applyFill="1" applyBorder="1" applyAlignment="1">
      <x:alignment wrapText="1"/>
    </x:xf>
    <x:xf numFmtId="0" fontId="17" fillId="2" borderId="18" xfId="0" applyNumberFormat="1" applyFont="1" applyFill="1" applyBorder="1" applyAlignment="1">
      <x:alignment wrapText="1"/>
    </x:xf>
    <x:xf numFmtId="0" fontId="17" fillId="2" borderId="19" xfId="0" applyNumberFormat="1" applyFont="1" applyFill="1" applyBorder="1" applyAlignment="1">
      <x:alignment wrapText="1"/>
    </x:xf>
    <x:xf numFmtId="0" fontId="17" fillId="2" borderId="17" xfId="0" applyNumberFormat="1" applyFont="1" applyFill="1" applyBorder="1" applyAlignment="1">
      <x:alignment horizontal="center" wrapText="1"/>
    </x:xf>
    <x:xf numFmtId="0" fontId="17" fillId="2" borderId="18" xfId="0" applyNumberFormat="1" applyFont="1" applyFill="1" applyBorder="1" applyAlignment="1">
      <x:alignment horizontal="center" wrapText="1"/>
    </x:xf>
    <x:xf numFmtId="0" fontId="17" fillId="2" borderId="19" xfId="0" applyNumberFormat="1" applyFont="1" applyFill="1" applyBorder="1" applyAlignment="1">
      <x:alignment horizontal="center" wrapText="1"/>
    </x:xf>
    <x:xf numFmtId="0" fontId="17" fillId="2" borderId="17" xfId="0" applyNumberFormat="1" applyFont="1" applyFill="1" applyBorder="1" applyAlignment="1">
      <x:alignment horizontal="center" vertical="center" wrapText="1"/>
    </x:xf>
    <x:xf numFmtId="0" fontId="17" fillId="2" borderId="18" xfId="0" applyNumberFormat="1" applyFont="1" applyFill="1" applyBorder="1" applyAlignment="1">
      <x:alignment horizontal="center" vertical="center" wrapText="1"/>
    </x:xf>
    <x:xf numFmtId="0" fontId="17" fillId="2" borderId="19" xfId="0" applyNumberFormat="1" applyFont="1" applyFill="1" applyBorder="1" applyAlignment="1">
      <x:alignment horizontal="center" vertical="center" wrapText="1"/>
    </x:xf>
    <x:xf numFmtId="0" fontId="18" fillId="5" borderId="0" xfId="0" applyNumberFormat="1" applyFont="1" applyFill="1" applyBorder="1"/>
    <x:xf numFmtId="0" fontId="18" fillId="5" borderId="7" xfId="0" applyNumberFormat="1" applyFont="1" applyFill="1" applyBorder="1"/>
    <x:xf numFmtId="0" fontId="18" fillId="5" borderId="20" xfId="0" applyNumberFormat="1" applyFont="1" applyFill="1" applyBorder="1"/>
    <x:xf numFmtId="0" fontId="18" fillId="5" borderId="7" xfId="0" applyNumberFormat="1" applyFont="1" applyFill="1" applyBorder="1" applyAlignment="1">
      <x:alignment vertical="center"/>
    </x:xf>
    <x:xf numFmtId="0" fontId="18" fillId="5" borderId="20" xfId="0" applyNumberFormat="1" applyFont="1" applyFill="1" applyBorder="1" applyAlignment="1">
      <x:alignment vertical="center"/>
    </x:xf>
    <x:xf numFmtId="200" fontId="18" fillId="5" borderId="7" xfId="0" applyNumberFormat="1" applyFont="1" applyFill="1" applyBorder="1" applyAlignment="1">
      <x:alignment vertical="center"/>
    </x:xf>
    <x:xf numFmtId="200" fontId="18" fillId="5" borderId="20" xfId="0" applyNumberFormat="1" applyFont="1" applyFill="1" applyBorder="1" applyAlignment="1">
      <x:alignment vertical="center"/>
    </x:xf>
    <x:xf numFmtId="201" fontId="18" fillId="5" borderId="7" xfId="0" applyNumberFormat="1" applyFont="1" applyFill="1" applyBorder="1" applyAlignment="1">
      <x:alignment vertical="center"/>
    </x:xf>
    <x:xf numFmtId="201" fontId="18" fillId="5" borderId="20" xfId="0" applyNumberFormat="1" applyFont="1" applyFill="1" applyBorder="1" applyAlignment="1">
      <x:alignment vertical="center"/>
    </x:xf>
    <x:xf numFmtId="202" fontId="18" fillId="5" borderId="7" xfId="0" applyNumberFormat="1" applyFont="1" applyFill="1" applyBorder="1" applyAlignment="1">
      <x:alignment vertical="center"/>
    </x:xf>
    <x:xf numFmtId="202" fontId="18" fillId="5" borderId="20" xfId="0" applyNumberFormat="1" applyFont="1" applyFill="1" applyBorder="1" applyAlignment="1">
      <x:alignment vertical="center"/>
    </x:xf>
    <x:xf numFmtId="203" fontId="18" fillId="5" borderId="7" xfId="0" applyNumberFormat="1" applyFont="1" applyFill="1" applyBorder="1" applyAlignment="1">
      <x:alignment vertical="center"/>
    </x:xf>
    <x:xf numFmtId="203" fontId="18" fillId="5" borderId="20" xfId="0" applyNumberFormat="1" applyFont="1" applyFill="1" applyBorder="1" applyAlignment="1">
      <x:alignment vertical="center"/>
    </x:xf>
    <x:xf numFmtId="204" fontId="18" fillId="5" borderId="7" xfId="0" applyNumberFormat="1" applyFont="1" applyFill="1" applyBorder="1" applyAlignment="1">
      <x:alignment vertical="center"/>
    </x:xf>
    <x:xf numFmtId="204" fontId="18" fillId="5" borderId="20" xfId="0" applyNumberFormat="1" applyFont="1" applyFill="1" applyBorder="1" applyAlignment="1">
      <x:alignment vertical="center"/>
    </x:xf>
    <x:xf numFmtId="201" fontId="18" fillId="5" borderId="7" xfId="0" applyNumberFormat="1" applyFont="1" applyFill="1" applyBorder="1" applyAlignment="1">
      <x:alignment horizontal="center" vertical="center"/>
    </x:xf>
    <x:xf numFmtId="202" fontId="18" fillId="5" borderId="7" xfId="0" applyNumberFormat="1" applyFont="1" applyFill="1" applyBorder="1" applyAlignment="1">
      <x:alignment horizontal="center" vertical="center"/>
    </x:xf>
    <x:xf numFmtId="203" fontId="18" fillId="5" borderId="7" xfId="0" applyNumberFormat="1" applyFont="1" applyFill="1" applyBorder="1" applyAlignment="1">
      <x:alignment horizontal="center" vertical="center"/>
    </x:xf>
    <x:xf numFmtId="204" fontId="18" fillId="5" borderId="7" xfId="0" applyNumberFormat="1" applyFont="1" applyFill="1" applyBorder="1" applyAlignment="1">
      <x:alignment horizontal="center" vertical="center"/>
    </x:xf>
    <x:xf numFmtId="0" fontId="18" fillId="5" borderId="7" xfId="0" applyNumberFormat="1" applyFont="1" applyFill="1" applyBorder="1" applyAlignment="1">
      <x:alignment horizontal="center" vertical="center"/>
    </x:xf>
    <x:xf numFmtId="201" fontId="18" fillId="5" borderId="20" xfId="0" applyNumberFormat="1" applyFont="1" applyFill="1" applyBorder="1" applyAlignment="1">
      <x:alignment horizontal="center" vertical="center"/>
    </x:xf>
    <x:xf numFmtId="202" fontId="18" fillId="5" borderId="20" xfId="0" applyNumberFormat="1" applyFont="1" applyFill="1" applyBorder="1" applyAlignment="1">
      <x:alignment horizontal="center" vertical="center"/>
    </x:xf>
    <x:xf numFmtId="203" fontId="18" fillId="5" borderId="20" xfId="0" applyNumberFormat="1" applyFont="1" applyFill="1" applyBorder="1" applyAlignment="1">
      <x:alignment horizontal="center" vertical="center"/>
    </x:xf>
    <x:xf numFmtId="204" fontId="18" fillId="5" borderId="20" xfId="0" applyNumberFormat="1" applyFont="1" applyFill="1" applyBorder="1" applyAlignment="1">
      <x:alignment horizontal="center" vertical="center"/>
    </x:xf>
    <x:xf numFmtId="0" fontId="18" fillId="5" borderId="20" xfId="0" applyNumberFormat="1" applyFont="1" applyFill="1" applyBorder="1" applyAlignment="1">
      <x:alignment horizontal="center" vertical="center"/>
    </x:xf>
    <x:xf numFmtId="0" fontId="18" fillId="4" borderId="7" xfId="0" applyNumberFormat="1" applyFont="1" applyFill="1" applyBorder="1" applyAlignment="1">
      <x:alignment vertical="center"/>
    </x:xf>
    <x:xf numFmtId="0" fontId="18" fillId="4" borderId="20" xfId="0" applyNumberFormat="1" applyFont="1" applyFill="1" applyBorder="1" applyAlignment="1">
      <x:alignment vertical="center"/>
    </x:xf>
    <x:xf numFmtId="0" fontId="19" fillId="4" borderId="7" xfId="0" applyNumberFormat="1" applyFont="1" applyFill="1" applyBorder="1" applyAlignment="1">
      <x:alignment vertical="center"/>
    </x:xf>
    <x:xf numFmtId="0" fontId="19" fillId="4" borderId="20" xfId="0" applyNumberFormat="1" applyFont="1" applyFill="1" applyBorder="1" applyAlignment="1">
      <x:alignment vertical="center"/>
    </x:xf>
    <x:xf numFmtId="0" fontId="19" fillId="4" borderId="7" xfId="0" applyNumberFormat="1" applyFont="1" applyFill="1" applyBorder="1" applyAlignment="1">
      <x:alignment horizontal="center" vertical="center"/>
    </x:xf>
    <x:xf numFmtId="0" fontId="19" fillId="4" borderId="20" xfId="0" applyNumberFormat="1" applyFont="1" applyFill="1" applyBorder="1" applyAlignment="1">
      <x:alignment horizontal="center" vertical="center"/>
    </x:xf>
    <x:xf numFmtId="0" fontId="18" fillId="5" borderId="7" xfId="0" applyNumberFormat="1" applyFont="1" applyFill="1" applyBorder="1" applyAlignment="1">
      <x:alignment vertical="center" wrapText="1"/>
    </x:xf>
    <x:xf numFmtId="0" fontId="18" fillId="5" borderId="20" xfId="0" applyNumberFormat="1" applyFont="1" applyFill="1" applyBorder="1" applyAlignment="1">
      <x:alignment vertical="center" wrapText="1"/>
    </x:xf>
    <x:xf numFmtId="0" fontId="20" fillId="3" borderId="0" xfId="0" applyNumberFormat="1" applyFont="1" applyFill="1" applyBorder="1" applyAlignment="1">
      <x:alignment horizontal="center"/>
    </x:xf>
    <x:xf numFmtId="0" fontId="21" fillId="2" borderId="17" xfId="0" applyNumberFormat="1" applyFont="1" applyFill="1" applyBorder="1" applyAlignment="1">
      <x:alignment horizontal="center" vertical="center" wrapText="1"/>
    </x:xf>
    <x:xf numFmtId="0" fontId="21" fillId="2" borderId="18" xfId="0" applyNumberFormat="1" applyFont="1" applyFill="1" applyBorder="1" applyAlignment="1">
      <x:alignment horizontal="center" vertical="center" wrapText="1"/>
    </x:xf>
    <x:xf numFmtId="0" fontId="21" fillId="2" borderId="19" xfId="0" applyNumberFormat="1" applyFont="1" applyFill="1" applyBorder="1" applyAlignment="1">
      <x:alignment horizontal="center" vertical="center" wrapText="1"/>
    </x:xf>
    <x:xf numFmtId="200" fontId="22" fillId="5" borderId="7" xfId="0" applyNumberFormat="1" applyFont="1" applyFill="1" applyBorder="1" applyAlignment="1">
      <x:alignment vertical="center"/>
    </x:xf>
    <x:xf numFmtId="0" fontId="22" fillId="5" borderId="7" xfId="0" applyNumberFormat="1" applyFont="1" applyFill="1" applyBorder="1" applyAlignment="1">
      <x:alignment vertical="center"/>
    </x:xf>
    <x:xf numFmtId="201" fontId="22" fillId="5" borderId="7" xfId="0" applyNumberFormat="1" applyFont="1" applyFill="1" applyBorder="1" applyAlignment="1">
      <x:alignment horizontal="center" vertical="center"/>
    </x:xf>
    <x:xf numFmtId="202" fontId="22" fillId="5" borderId="7" xfId="0" applyNumberFormat="1" applyFont="1" applyFill="1" applyBorder="1" applyAlignment="1">
      <x:alignment horizontal="center" vertical="center"/>
    </x:xf>
    <x:xf numFmtId="203" fontId="22" fillId="5" borderId="7" xfId="0" applyNumberFormat="1" applyFont="1" applyFill="1" applyBorder="1" applyAlignment="1">
      <x:alignment horizontal="center" vertical="center"/>
    </x:xf>
    <x:xf numFmtId="204" fontId="22" fillId="5" borderId="7" xfId="0" applyNumberFormat="1" applyFont="1" applyFill="1" applyBorder="1" applyAlignment="1">
      <x:alignment horizontal="center" vertical="center"/>
    </x:xf>
    <x:xf numFmtId="0" fontId="22" fillId="5" borderId="7" xfId="0" applyNumberFormat="1" applyFont="1" applyFill="1" applyBorder="1" applyAlignment="1">
      <x:alignment horizontal="center" vertical="center"/>
    </x:xf>
    <x:xf numFmtId="0" fontId="23" fillId="4" borderId="7" xfId="0" applyNumberFormat="1" applyFont="1" applyFill="1" applyBorder="1" applyAlignment="1">
      <x:alignment horizontal="center" vertical="center"/>
    </x:xf>
    <x:xf numFmtId="0" fontId="22" fillId="5" borderId="7" xfId="0" applyNumberFormat="1" applyFont="1" applyFill="1" applyBorder="1" applyAlignment="1">
      <x:alignment vertical="center" wrapText="1"/>
    </x:xf>
    <x:xf numFmtId="200" fontId="22" fillId="5" borderId="20" xfId="0" applyNumberFormat="1" applyFont="1" applyFill="1" applyBorder="1" applyAlignment="1">
      <x:alignment vertical="center"/>
    </x:xf>
    <x:xf numFmtId="0" fontId="22" fillId="5" borderId="20" xfId="0" applyNumberFormat="1" applyFont="1" applyFill="1" applyBorder="1" applyAlignment="1">
      <x:alignment vertical="center"/>
    </x:xf>
    <x:xf numFmtId="201" fontId="22" fillId="5" borderId="20" xfId="0" applyNumberFormat="1" applyFont="1" applyFill="1" applyBorder="1" applyAlignment="1">
      <x:alignment horizontal="center" vertical="center"/>
    </x:xf>
    <x:xf numFmtId="202" fontId="22" fillId="5" borderId="20" xfId="0" applyNumberFormat="1" applyFont="1" applyFill="1" applyBorder="1" applyAlignment="1">
      <x:alignment horizontal="center" vertical="center"/>
    </x:xf>
    <x:xf numFmtId="203" fontId="22" fillId="5" borderId="20" xfId="0" applyNumberFormat="1" applyFont="1" applyFill="1" applyBorder="1" applyAlignment="1">
      <x:alignment horizontal="center" vertical="center"/>
    </x:xf>
    <x:xf numFmtId="204" fontId="22" fillId="5" borderId="20" xfId="0" applyNumberFormat="1" applyFont="1" applyFill="1" applyBorder="1" applyAlignment="1">
      <x:alignment horizontal="center" vertical="center"/>
    </x:xf>
    <x:xf numFmtId="0" fontId="22" fillId="5" borderId="20" xfId="0" applyNumberFormat="1" applyFont="1" applyFill="1" applyBorder="1" applyAlignment="1">
      <x:alignment horizontal="center" vertical="center"/>
    </x:xf>
    <x:xf numFmtId="0" fontId="23" fillId="4" borderId="20" xfId="0" applyNumberFormat="1" applyFont="1" applyFill="1" applyBorder="1" applyAlignment="1">
      <x:alignment horizontal="center" vertical="center"/>
    </x:xf>
    <x:xf numFmtId="0" fontId="22" fillId="5" borderId="20" xfId="0" applyNumberFormat="1" applyFont="1" applyFill="1" applyBorder="1" applyAlignment="1">
      <x:alignment vertical="center" wrapText="1"/>
    </x:xf>
    <x:xf numFmtId="0" fontId="24" fillId="4" borderId="0" xfId="0" applyNumberFormat="1" applyFont="1" applyFill="1" applyBorder="1"/>
    <x:xf numFmtId="0" fontId="24" fillId="4" borderId="21" xfId="0" applyNumberFormat="1" applyFont="1" applyFill="1" applyBorder="1"/>
    <x:xf numFmtId="0" fontId="24" fillId="4" borderId="22" xfId="0" applyNumberFormat="1" applyFont="1" applyFill="1" applyBorder="1"/>
    <x:xf numFmtId="0" fontId="24" fillId="4" borderId="21" xfId="0" applyNumberFormat="1" applyFont="1" applyFill="1" applyBorder="1" applyAlignment="1">
      <x:alignment horizontal="center"/>
    </x:xf>
    <x:xf numFmtId="0" fontId="24" fillId="4" borderId="22" xfId="0" applyNumberFormat="1" applyFont="1" applyFill="1" applyBorder="1" applyAlignment="1">
      <x:alignment horizontal="center"/>
    </x:xf>
    <x:xf numFmtId="0" fontId="24" fillId="4" borderId="21" xfId="0" applyNumberFormat="1" applyFont="1" applyFill="1" applyBorder="1" applyAlignment="1">
      <x:alignment horizontal="center" vertical="center"/>
    </x:xf>
    <x:xf numFmtId="0" fontId="24" fillId="4" borderId="22" xfId="0" applyNumberFormat="1" applyFont="1" applyFill="1" applyBorder="1" applyAlignment="1">
      <x:alignment horizontal="center" vertical="center"/>
    </x:xf>
    <x:xf numFmtId="0" fontId="25" fillId="5" borderId="0" xfId="0" applyNumberFormat="1" applyFont="1" applyFill="1" applyBorder="1"/>
    <x:xf numFmtId="0" fontId="25" fillId="5" borderId="23" xfId="0" applyNumberFormat="1" applyFont="1" applyFill="1" applyBorder="1"/>
    <x:xf numFmtId="0" fontId="25" fillId="5" borderId="24" xfId="0" applyNumberFormat="1" applyFont="1" applyFill="1" applyBorder="1"/>
    <x:xf numFmtId="0" fontId="25" fillId="5" borderId="25" xfId="0" applyNumberFormat="1" applyFont="1" applyFill="1" applyBorder="1"/>
    <x:xf numFmtId="0" fontId="25" fillId="5" borderId="26" xfId="0" applyNumberFormat="1" applyFont="1" applyFill="1" applyBorder="1"/>
    <x:xf numFmtId="0" fontId="25" fillId="5" borderId="23" xfId="0" applyNumberFormat="1" applyFont="1" applyFill="1" applyBorder="1" applyAlignment="1">
      <x:alignment horizontal="center"/>
    </x:xf>
    <x:xf numFmtId="0" fontId="25" fillId="5" borderId="24" xfId="0" applyNumberFormat="1" applyFont="1" applyFill="1" applyBorder="1" applyAlignment="1">
      <x:alignment horizontal="center"/>
    </x:xf>
    <x:xf numFmtId="0" fontId="25" fillId="5" borderId="25" xfId="0" applyNumberFormat="1" applyFont="1" applyFill="1" applyBorder="1" applyAlignment="1">
      <x:alignment horizontal="center"/>
    </x:xf>
    <x:xf numFmtId="0" fontId="25" fillId="5" borderId="26" xfId="0" applyNumberFormat="1" applyFont="1" applyFill="1" applyBorder="1" applyAlignment="1">
      <x:alignment horizontal="center"/>
    </x:xf>
    <x:xf numFmtId="0" fontId="25" fillId="5" borderId="23" xfId="0" applyNumberFormat="1" applyFont="1" applyFill="1" applyBorder="1" applyAlignment="1">
      <x:alignment horizontal="center" vertical="center"/>
    </x:xf>
    <x:xf numFmtId="0" fontId="25" fillId="5" borderId="24" xfId="0" applyNumberFormat="1" applyFont="1" applyFill="1" applyBorder="1" applyAlignment="1">
      <x:alignment horizontal="center" vertical="center"/>
    </x:xf>
    <x:xf numFmtId="0" fontId="25" fillId="5" borderId="25" xfId="0" applyNumberFormat="1" applyFont="1" applyFill="1" applyBorder="1" applyAlignment="1">
      <x:alignment horizontal="center" vertical="center"/>
    </x:xf>
    <x:xf numFmtId="0" fontId="25" fillId="5" borderId="26" xfId="0" applyNumberFormat="1" applyFont="1" applyFill="1" applyBorder="1" applyAlignment="1">
      <x:alignment horizontal="center" vertical="center"/>
    </x:xf>
    <x:xf numFmtId="204" fontId="25" fillId="5" borderId="23" xfId="0" applyNumberFormat="1" applyFont="1" applyFill="1" applyBorder="1" applyAlignment="1">
      <x:alignment horizontal="center" vertical="center"/>
    </x:xf>
    <x:xf numFmtId="204" fontId="25" fillId="5" borderId="24" xfId="0" applyNumberFormat="1" applyFont="1" applyFill="1" applyBorder="1" applyAlignment="1">
      <x:alignment horizontal="center" vertical="center"/>
    </x:xf>
    <x:xf numFmtId="204" fontId="25" fillId="5" borderId="25" xfId="0" applyNumberFormat="1" applyFont="1" applyFill="1" applyBorder="1" applyAlignment="1">
      <x:alignment horizontal="center" vertical="center"/>
    </x:xf>
    <x:xf numFmtId="204" fontId="25" fillId="5" borderId="26" xfId="0" applyNumberFormat="1" applyFont="1" applyFill="1" applyBorder="1" applyAlignment="1">
      <x:alignment horizontal="center" vertical="center"/>
    </x:xf>
    <x:xf numFmtId="201" fontId="25" fillId="5" borderId="23" xfId="0" applyNumberFormat="1" applyFont="1" applyFill="1" applyBorder="1" applyAlignment="1">
      <x:alignment horizontal="center" vertical="center"/>
    </x:xf>
    <x:xf numFmtId="201" fontId="25" fillId="5" borderId="24" xfId="0" applyNumberFormat="1" applyFont="1" applyFill="1" applyBorder="1" applyAlignment="1">
      <x:alignment horizontal="center" vertical="center"/>
    </x:xf>
    <x:xf numFmtId="201" fontId="25" fillId="5" borderId="25" xfId="0" applyNumberFormat="1" applyFont="1" applyFill="1" applyBorder="1" applyAlignment="1">
      <x:alignment horizontal="center" vertical="center"/>
    </x:xf>
    <x:xf numFmtId="201" fontId="25" fillId="5" borderId="26" xfId="0" applyNumberFormat="1" applyFont="1" applyFill="1" applyBorder="1" applyAlignment="1">
      <x:alignment horizontal="center" vertical="center"/>
    </x:xf>
    <x:xf numFmtId="202" fontId="25" fillId="5" borderId="23" xfId="0" applyNumberFormat="1" applyFont="1" applyFill="1" applyBorder="1" applyAlignment="1">
      <x:alignment horizontal="center" vertical="center"/>
    </x:xf>
    <x:xf numFmtId="202" fontId="25" fillId="5" borderId="24" xfId="0" applyNumberFormat="1" applyFont="1" applyFill="1" applyBorder="1" applyAlignment="1">
      <x:alignment horizontal="center" vertical="center"/>
    </x:xf>
    <x:xf numFmtId="202" fontId="25" fillId="5" borderId="25" xfId="0" applyNumberFormat="1" applyFont="1" applyFill="1" applyBorder="1" applyAlignment="1">
      <x:alignment horizontal="center" vertical="center"/>
    </x:xf>
    <x:xf numFmtId="202" fontId="25" fillId="5" borderId="26" xfId="0" applyNumberFormat="1" applyFont="1" applyFill="1" applyBorder="1" applyAlignment="1">
      <x:alignment horizontal="center" vertical="center"/>
    </x:xf>
    <x:xf numFmtId="205" fontId="25" fillId="5" borderId="23" xfId="0" applyNumberFormat="1" applyFont="1" applyFill="1" applyBorder="1" applyAlignment="1">
      <x:alignment horizontal="center" vertical="center"/>
    </x:xf>
    <x:xf numFmtId="205" fontId="25" fillId="5" borderId="24" xfId="0" applyNumberFormat="1" applyFont="1" applyFill="1" applyBorder="1" applyAlignment="1">
      <x:alignment horizontal="center" vertical="center"/>
    </x:xf>
    <x:xf numFmtId="205" fontId="25" fillId="5" borderId="25" xfId="0" applyNumberFormat="1" applyFont="1" applyFill="1" applyBorder="1" applyAlignment="1">
      <x:alignment horizontal="center" vertical="center"/>
    </x:xf>
    <x:xf numFmtId="205" fontId="25" fillId="5" borderId="26" xfId="0" applyNumberFormat="1" applyFont="1" applyFill="1" applyBorder="1" applyAlignment="1">
      <x:alignment horizontal="center" vertical="center"/>
    </x:xf>
    <x:xf numFmtId="0" fontId="17" fillId="2" borderId="17" xfId="0" applyNumberFormat="1" applyFont="1" applyFill="1" applyBorder="1" applyAlignment="1">
      <x:alignment horizontal="center"/>
    </x:xf>
    <x:xf numFmtId="0" fontId="17" fillId="2" borderId="18" xfId="0" applyNumberFormat="1" applyFont="1" applyFill="1" applyBorder="1" applyAlignment="1">
      <x:alignment horizontal="center"/>
    </x:xf>
    <x:xf numFmtId="0" fontId="17" fillId="2" borderId="19" xfId="0" applyNumberFormat="1" applyFont="1" applyFill="1" applyBorder="1" applyAlignment="1">
      <x:alignment horizontal="center"/>
    </x:xf>
    <x:xf numFmtId="0" fontId="18" fillId="5" borderId="8" xfId="0" applyNumberFormat="1" applyFont="1" applyFill="1" applyBorder="1"/>
    <x:xf numFmtId="0" fontId="18" fillId="5" borderId="27" xfId="0" applyNumberFormat="1" applyFont="1" applyFill="1" applyBorder="1"/>
    <x:xf numFmtId="0" fontId="18" fillId="5" borderId="6" xfId="0" applyNumberFormat="1" applyFont="1" applyFill="1" applyBorder="1"/>
    <x:xf numFmtId="0" fontId="18" fillId="5" borderId="28" xfId="0" applyNumberFormat="1" applyFont="1" applyFill="1" applyBorder="1"/>
    <x:xf numFmtId="0" fontId="18" fillId="5" borderId="29" xfId="0" applyNumberFormat="1" applyFont="1" applyFill="1" applyBorder="1"/>
    <x:xf numFmtId="0" fontId="18" fillId="5" borderId="30" xfId="0" applyNumberFormat="1" applyFont="1" applyFill="1" applyBorder="1"/>
    <x:xf numFmtId="0" fontId="18" fillId="5" borderId="3" xfId="0" applyNumberFormat="1" applyFont="1" applyFill="1" applyBorder="1"/>
    <x:xf numFmtId="0" fontId="18" fillId="5" borderId="31" xfId="0" applyNumberFormat="1" applyFont="1" applyFill="1" applyBorder="1"/>
    <x:xf numFmtId="0" fontId="18" fillId="5" borderId="1" xfId="0" applyNumberFormat="1" applyFont="1" applyFill="1" applyBorder="1"/>
    <x:xf numFmtId="204" fontId="18" fillId="5" borderId="27" xfId="0" applyNumberFormat="1" applyFont="1" applyFill="1" applyBorder="1"/>
    <x:xf numFmtId="204" fontId="18" fillId="5" borderId="29" xfId="0" applyNumberFormat="1" applyFont="1" applyFill="1" applyBorder="1"/>
    <x:xf numFmtId="204" fontId="18" fillId="5" borderId="31" xfId="0" applyNumberFormat="1" applyFont="1" applyFill="1" applyBorder="1"/>
    <x:xf numFmtId="202" fontId="18" fillId="5" borderId="27" xfId="0" applyNumberFormat="1" applyFont="1" applyFill="1" applyBorder="1"/>
    <x:xf numFmtId="202" fontId="18" fillId="5" borderId="6" xfId="0" applyNumberFormat="1" applyFont="1" applyFill="1" applyBorder="1"/>
    <x:xf numFmtId="202" fontId="18" fillId="5" borderId="29" xfId="0" applyNumberFormat="1" applyFont="1" applyFill="1" applyBorder="1"/>
    <x:xf numFmtId="202" fontId="18" fillId="5" borderId="30" xfId="0" applyNumberFormat="1" applyFont="1" applyFill="1" applyBorder="1"/>
    <x:xf numFmtId="202" fontId="18" fillId="5" borderId="31" xfId="0" applyNumberFormat="1" applyFont="1" applyFill="1" applyBorder="1"/>
    <x:xf numFmtId="202" fontId="18" fillId="5" borderId="1" xfId="0" applyNumberFormat="1" applyFont="1" applyFill="1" applyBorder="1"/>
    <x:xf numFmtId="204" fontId="18" fillId="5" borderId="27" xfId="0" applyNumberFormat="1" applyFont="1" applyFill="1" applyBorder="1" applyAlignment="1">
      <x:alignment horizontal="right"/>
    </x:xf>
    <x:xf numFmtId="202" fontId="18" fillId="5" borderId="27" xfId="0" applyNumberFormat="1" applyFont="1" applyFill="1" applyBorder="1" applyAlignment="1">
      <x:alignment horizontal="right"/>
    </x:xf>
    <x:xf numFmtId="202" fontId="18" fillId="5" borderId="6" xfId="0" applyNumberFormat="1" applyFont="1" applyFill="1" applyBorder="1" applyAlignment="1">
      <x:alignment horizontal="right"/>
    </x:xf>
    <x:xf numFmtId="204" fontId="18" fillId="5" borderId="29" xfId="0" applyNumberFormat="1" applyFont="1" applyFill="1" applyBorder="1" applyAlignment="1">
      <x:alignment horizontal="right"/>
    </x:xf>
    <x:xf numFmtId="202" fontId="18" fillId="5" borderId="29" xfId="0" applyNumberFormat="1" applyFont="1" applyFill="1" applyBorder="1" applyAlignment="1">
      <x:alignment horizontal="right"/>
    </x:xf>
    <x:xf numFmtId="202" fontId="18" fillId="5" borderId="30" xfId="0" applyNumberFormat="1" applyFont="1" applyFill="1" applyBorder="1" applyAlignment="1">
      <x:alignment horizontal="right"/>
    </x:xf>
    <x:xf numFmtId="204" fontId="18" fillId="5" borderId="31" xfId="0" applyNumberFormat="1" applyFont="1" applyFill="1" applyBorder="1" applyAlignment="1">
      <x:alignment horizontal="right"/>
    </x:xf>
    <x:xf numFmtId="202" fontId="18" fillId="5" borderId="31" xfId="0" applyNumberFormat="1" applyFont="1" applyFill="1" applyBorder="1" applyAlignment="1">
      <x:alignment horizontal="right"/>
    </x:xf>
    <x:xf numFmtId="202" fontId="18" fillId="5" borderId="1" xfId="0" applyNumberFormat="1" applyFont="1" applyFill="1" applyBorder="1" applyAlignment="1">
      <x:alignment horizontal="right"/>
    </x:xf>
    <x:xf numFmtId="0" fontId="7" fillId="5" borderId="1"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26" fillId="4" borderId="21" xfId="0" applyNumberFormat="1" applyFont="1" applyFill="1" applyBorder="1" applyAlignment="1">
      <x:alignment horizontal="center" vertical="center"/>
    </x:xf>
    <x:xf numFmtId="0" fontId="26" fillId="4" borderId="22" xfId="0" applyNumberFormat="1" applyFont="1" applyFill="1" applyBorder="1" applyAlignment="1">
      <x:alignment horizontal="center" vertical="center"/>
    </x:xf>
    <x:xf numFmtId="204" fontId="27" fillId="5" borderId="23" xfId="0" applyNumberFormat="1" applyFont="1" applyFill="1" applyBorder="1" applyAlignment="1">
      <x:alignment horizontal="center" vertical="center"/>
    </x:xf>
    <x:xf numFmtId="204" fontId="27" fillId="5" borderId="24" xfId="0" applyNumberFormat="1" applyFont="1" applyFill="1" applyBorder="1" applyAlignment="1">
      <x:alignment horizontal="center" vertical="center"/>
    </x:xf>
    <x:xf numFmtId="201" fontId="27" fillId="5" borderId="23" xfId="0" applyNumberFormat="1" applyFont="1" applyFill="1" applyBorder="1" applyAlignment="1">
      <x:alignment horizontal="center" vertical="center"/>
    </x:xf>
    <x:xf numFmtId="201" fontId="27" fillId="5" borderId="24" xfId="0" applyNumberFormat="1" applyFont="1" applyFill="1" applyBorder="1" applyAlignment="1">
      <x:alignment horizontal="center" vertical="center"/>
    </x:xf>
    <x:xf numFmtId="202" fontId="27" fillId="5" borderId="23" xfId="0" applyNumberFormat="1" applyFont="1" applyFill="1" applyBorder="1" applyAlignment="1">
      <x:alignment horizontal="center" vertical="center"/>
    </x:xf>
    <x:xf numFmtId="202" fontId="27" fillId="5" borderId="24" xfId="0" applyNumberFormat="1" applyFont="1" applyFill="1" applyBorder="1" applyAlignment="1">
      <x:alignment horizontal="center" vertical="center"/>
    </x:xf>
    <x:xf numFmtId="204" fontId="27" fillId="5" borderId="25" xfId="0" applyNumberFormat="1" applyFont="1" applyFill="1" applyBorder="1" applyAlignment="1">
      <x:alignment horizontal="center" vertical="center"/>
    </x:xf>
    <x:xf numFmtId="204" fontId="27" fillId="5" borderId="26" xfId="0" applyNumberFormat="1" applyFont="1" applyFill="1" applyBorder="1" applyAlignment="1">
      <x:alignment horizontal="center" vertical="center"/>
    </x:xf>
    <x:xf numFmtId="201" fontId="27" fillId="5" borderId="25" xfId="0" applyNumberFormat="1" applyFont="1" applyFill="1" applyBorder="1" applyAlignment="1">
      <x:alignment horizontal="center" vertical="center"/>
    </x:xf>
    <x:xf numFmtId="201" fontId="27" fillId="5" borderId="26" xfId="0" applyNumberFormat="1" applyFont="1" applyFill="1" applyBorder="1" applyAlignment="1">
      <x:alignment horizontal="center" vertical="center"/>
    </x:xf>
    <x:xf numFmtId="202" fontId="27" fillId="5" borderId="25" xfId="0" applyNumberFormat="1" applyFont="1" applyFill="1" applyBorder="1" applyAlignment="1">
      <x:alignment horizontal="center" vertical="center"/>
    </x:xf>
    <x:xf numFmtId="202" fontId="27" fillId="5" borderId="26" xfId="0" applyNumberFormat="1" applyFont="1" applyFill="1" applyBorder="1" applyAlignment="1">
      <x:alignment horizontal="center" vertical="center"/>
    </x:xf>
    <x:xf numFmtId="205" fontId="27" fillId="5" borderId="23" xfId="0" applyNumberFormat="1" applyFont="1" applyFill="1" applyBorder="1" applyAlignment="1">
      <x:alignment horizontal="center" vertical="center"/>
    </x:xf>
    <x:xf numFmtId="205" fontId="27" fillId="5" borderId="24" xfId="0" applyNumberFormat="1" applyFont="1" applyFill="1" applyBorder="1" applyAlignment="1">
      <x:alignment horizontal="center" vertical="center"/>
    </x:xf>
    <x:xf numFmtId="205" fontId="27" fillId="5" borderId="25" xfId="0" applyNumberFormat="1" applyFont="1" applyFill="1" applyBorder="1" applyAlignment="1">
      <x:alignment horizontal="center" vertical="center"/>
    </x:xf>
    <x:xf numFmtId="205" fontId="27" fillId="5" borderId="26" xfId="0" applyNumberFormat="1" applyFont="1" applyFill="1" applyBorder="1" applyAlignment="1">
      <x:alignment horizontal="center" vertical="center"/>
    </x:xf>
    <x:xf numFmtId="0" fontId="21" fillId="2" borderId="17" xfId="0" applyNumberFormat="1" applyFont="1" applyFill="1" applyBorder="1" applyAlignment="1">
      <x:alignment horizontal="center"/>
    </x:xf>
    <x:xf numFmtId="0" fontId="21" fillId="2" borderId="18" xfId="0" applyNumberFormat="1" applyFont="1" applyFill="1" applyBorder="1" applyAlignment="1">
      <x:alignment horizontal="center"/>
    </x:xf>
    <x:xf numFmtId="0" fontId="21" fillId="2" borderId="19" xfId="0" applyNumberFormat="1" applyFont="1" applyFill="1" applyBorder="1" applyAlignment="1">
      <x:alignment horizontal="center"/>
    </x:xf>
    <x:xf numFmtId="0" fontId="22" fillId="5" borderId="8" xfId="0" applyNumberFormat="1" applyFont="1" applyFill="1" applyBorder="1"/>
    <x:xf numFmtId="204" fontId="22" fillId="5" borderId="27" xfId="0" applyNumberFormat="1" applyFont="1" applyFill="1" applyBorder="1" applyAlignment="1">
      <x:alignment horizontal="right"/>
    </x:xf>
    <x:xf numFmtId="202" fontId="22" fillId="5" borderId="27" xfId="0" applyNumberFormat="1" applyFont="1" applyFill="1" applyBorder="1" applyAlignment="1">
      <x:alignment horizontal="right"/>
    </x:xf>
    <x:xf numFmtId="202" fontId="22" fillId="5" borderId="6" xfId="0" applyNumberFormat="1" applyFont="1" applyFill="1" applyBorder="1" applyAlignment="1">
      <x:alignment horizontal="right"/>
    </x:xf>
    <x:xf numFmtId="0" fontId="22" fillId="5" borderId="28" xfId="0" applyNumberFormat="1" applyFont="1" applyFill="1" applyBorder="1"/>
    <x:xf numFmtId="204" fontId="22" fillId="5" borderId="29" xfId="0" applyNumberFormat="1" applyFont="1" applyFill="1" applyBorder="1" applyAlignment="1">
      <x:alignment horizontal="right"/>
    </x:xf>
    <x:xf numFmtId="202" fontId="22" fillId="5" borderId="29" xfId="0" applyNumberFormat="1" applyFont="1" applyFill="1" applyBorder="1" applyAlignment="1">
      <x:alignment horizontal="right"/>
    </x:xf>
    <x:xf numFmtId="202" fontId="22" fillId="5" borderId="30" xfId="0" applyNumberFormat="1" applyFont="1" applyFill="1" applyBorder="1" applyAlignment="1">
      <x:alignment horizontal="right"/>
    </x:xf>
    <x:xf numFmtId="0" fontId="22" fillId="5" borderId="3" xfId="0" applyNumberFormat="1" applyFont="1" applyFill="1" applyBorder="1"/>
    <x:xf numFmtId="204" fontId="22" fillId="5" borderId="31" xfId="0" applyNumberFormat="1" applyFont="1" applyFill="1" applyBorder="1" applyAlignment="1">
      <x:alignment horizontal="right"/>
    </x:xf>
    <x:xf numFmtId="202" fontId="22" fillId="5" borderId="31" xfId="0" applyNumberFormat="1" applyFont="1" applyFill="1" applyBorder="1" applyAlignment="1">
      <x:alignment horizontal="right"/>
    </x:xf>
    <x:xf numFmtId="202" fontId="22" fillId="5" borderId="1" xfId="0" applyNumberFormat="1" applyFont="1" applyFill="1" applyBorder="1" applyAlignment="1">
      <x:alignment horizontal="right"/>
    </x:xf>
    <x:xf numFmtId="0" fontId="15" fillId="5" borderId="1" xfId="0" applyNumberFormat="1" applyFont="1" applyFill="1" applyBorder="1" applyAlignment="1">
      <x:alignment vertical="top" wrapText="1"/>
    </x:xf>
    <x:xf numFmtId="0" fontId="15" fillId="5" borderId="2" xfId="0" applyNumberFormat="1" applyFont="1" applyFill="1" applyBorder="1" applyAlignment="1">
      <x:alignment vertical="top" wrapText="1"/>
    </x:xf>
    <x:xf numFmtId="0" fontId="15" fillId="5" borderId="3" xfId="0" applyNumberFormat="1" applyFont="1" applyFill="1" applyBorder="1" applyAlignment="1">
      <x:alignment vertical="top" wrapText="1"/>
    </x:xf>
    <x:xf numFmtId="0" fontId="15" fillId="5" borderId="4" xfId="0" applyNumberFormat="1" applyFont="1" applyFill="1" applyBorder="1" applyAlignment="1">
      <x:alignment vertical="top" wrapText="1"/>
    </x:xf>
    <x:xf numFmtId="0" fontId="15" fillId="5" borderId="0" xfId="0" applyNumberFormat="1" applyFont="1" applyFill="1" applyBorder="1" applyAlignment="1">
      <x:alignment vertical="top" wrapText="1"/>
    </x:xf>
    <x:xf numFmtId="0" fontId="15" fillId="5" borderId="5" xfId="0" applyNumberFormat="1" applyFont="1" applyFill="1" applyBorder="1" applyAlignment="1">
      <x:alignment vertical="top" wrapText="1"/>
    </x:xf>
    <x:xf numFmtId="0" fontId="15" fillId="5" borderId="6" xfId="0" applyNumberFormat="1" applyFont="1" applyFill="1" applyBorder="1" applyAlignment="1">
      <x:alignment vertical="top" wrapText="1"/>
    </x:xf>
    <x:xf numFmtId="0" fontId="15" fillId="5" borderId="7" xfId="0" applyNumberFormat="1" applyFont="1" applyFill="1" applyBorder="1" applyAlignment="1">
      <x:alignment vertical="top" wrapText="1"/>
    </x:xf>
    <x:xf numFmtId="0" fontId="15" fillId="5" borderId="8" xfId="0" applyNumberFormat="1" applyFont="1" applyFill="1" applyBorder="1" applyAlignment="1">
      <x:alignment vertical="top" wrapText="1"/>
    </x:xf>
    <x:xf numFmtId="0" fontId="17" fillId="2" borderId="0" xfId="0" applyNumberFormat="1" applyFont="1" applyFill="1" applyBorder="1" applyAlignment="1">
      <x:alignment wrapText="1"/>
    </x:xf>
    <x:xf numFmtId="0" fontId="17" fillId="2" borderId="0"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8" fillId="5" borderId="8" xfId="0" applyNumberFormat="1" applyFont="1" applyFill="1" applyBorder="1" applyAlignment="1">
      <x:alignment vertical="center"/>
    </x:xf>
    <x:xf numFmtId="0" fontId="18" fillId="5" borderId="27" xfId="0" applyNumberFormat="1" applyFont="1" applyFill="1" applyBorder="1" applyAlignment="1">
      <x:alignment vertical="center"/>
    </x:xf>
    <x:xf numFmtId="0" fontId="18" fillId="5" borderId="6" xfId="0" applyNumberFormat="1" applyFont="1" applyFill="1" applyBorder="1" applyAlignment="1">
      <x:alignment vertical="center"/>
    </x:xf>
    <x:xf numFmtId="0" fontId="18" fillId="5" borderId="28" xfId="0" applyNumberFormat="1" applyFont="1" applyFill="1" applyBorder="1" applyAlignment="1">
      <x:alignment vertical="center"/>
    </x:xf>
    <x:xf numFmtId="0" fontId="18" fillId="5" borderId="29" xfId="0" applyNumberFormat="1" applyFont="1" applyFill="1" applyBorder="1" applyAlignment="1">
      <x:alignment vertical="center"/>
    </x:xf>
    <x:xf numFmtId="0" fontId="18" fillId="5" borderId="30" xfId="0" applyNumberFormat="1" applyFont="1" applyFill="1" applyBorder="1" applyAlignment="1">
      <x:alignment vertical="center"/>
    </x:xf>
    <x:xf numFmtId="0" fontId="18" fillId="5" borderId="3" xfId="0" applyNumberFormat="1" applyFont="1" applyFill="1" applyBorder="1" applyAlignment="1">
      <x:alignment vertical="center"/>
    </x:xf>
    <x:xf numFmtId="0" fontId="18" fillId="5" borderId="31" xfId="0" applyNumberFormat="1" applyFont="1" applyFill="1" applyBorder="1" applyAlignment="1">
      <x:alignment vertical="center"/>
    </x:xf>
    <x:xf numFmtId="0" fontId="18" fillId="5" borderId="1" xfId="0" applyNumberFormat="1" applyFont="1" applyFill="1" applyBorder="1" applyAlignment="1">
      <x:alignment vertical="center"/>
    </x:xf>
    <x:xf numFmtId="0" fontId="18" fillId="5" borderId="27" xfId="0" applyNumberFormat="1" applyFont="1" applyFill="1" applyBorder="1" applyAlignment="1">
      <x:alignment vertical="center" wrapText="1"/>
    </x:xf>
    <x:xf numFmtId="0" fontId="18" fillId="5" borderId="29" xfId="0" applyNumberFormat="1" applyFont="1" applyFill="1" applyBorder="1" applyAlignment="1">
      <x:alignment vertical="center" wrapText="1"/>
    </x:xf>
    <x:xf numFmtId="0" fontId="18" fillId="5" borderId="31" xfId="0" applyNumberFormat="1" applyFont="1" applyFill="1" applyBorder="1" applyAlignment="1">
      <x:alignment vertical="center" wrapText="1"/>
    </x:xf>
    <x:xf numFmtId="0" fontId="18" fillId="5" borderId="6" xfId="0" applyNumberFormat="1" applyFont="1" applyFill="1" applyBorder="1" applyAlignment="1">
      <x:alignment vertical="center" wrapText="1"/>
    </x:xf>
    <x:xf numFmtId="0" fontId="18" fillId="5" borderId="30" xfId="0" applyNumberFormat="1" applyFont="1" applyFill="1" applyBorder="1" applyAlignment="1">
      <x:alignment vertical="center" wrapText="1"/>
    </x:xf>
    <x:xf numFmtId="0" fontId="18" fillId="5" borderId="1" xfId="0" applyNumberFormat="1" applyFont="1" applyFill="1" applyBorder="1" applyAlignment="1">
      <x:alignment vertical="center" wrapText="1"/>
    </x:xf>
    <x:xf numFmtId="0" fontId="18" fillId="5" borderId="27" xfId="0" applyNumberFormat="1" applyFont="1" applyFill="1" applyBorder="1" applyAlignment="1">
      <x:alignment horizontal="right" vertical="center"/>
    </x:xf>
    <x:xf numFmtId="0" fontId="18" fillId="5" borderId="29" xfId="0" applyNumberFormat="1" applyFont="1" applyFill="1" applyBorder="1" applyAlignment="1">
      <x:alignment horizontal="right" vertical="center"/>
    </x:xf>
    <x:xf numFmtId="0" fontId="18" fillId="5" borderId="31" xfId="0" applyNumberFormat="1" applyFont="1" applyFill="1" applyBorder="1" applyAlignment="1">
      <x:alignment horizontal="right" vertical="center"/>
    </x:xf>
    <x:xf numFmtId="0" fontId="28" fillId="5" borderId="27" xfId="0" applyNumberFormat="1" applyFont="1" applyFill="1" applyBorder="1" applyAlignment="1">
      <x:alignment vertical="center"/>
    </x:xf>
    <x:xf numFmtId="0" fontId="28" fillId="5" borderId="29" xfId="0" applyNumberFormat="1" applyFont="1" applyFill="1" applyBorder="1" applyAlignment="1">
      <x:alignment vertical="center"/>
    </x:xf>
    <x:xf numFmtId="0" fontId="28" fillId="5" borderId="31" xfId="0" applyNumberFormat="1" applyFont="1" applyFill="1" applyBorder="1" applyAlignment="1">
      <x:alignment vertical="center"/>
    </x:xf>
    <x:xf numFmtId="0" fontId="28" fillId="5" borderId="27" xfId="0" applyNumberFormat="1" applyFont="1" applyFill="1" applyBorder="1" applyAlignment="1">
      <x:alignment horizontal="center" vertical="center"/>
    </x:xf>
    <x:xf numFmtId="0" fontId="28" fillId="5" borderId="29" xfId="0" applyNumberFormat="1" applyFont="1" applyFill="1" applyBorder="1" applyAlignment="1">
      <x:alignment horizontal="center" vertical="center"/>
    </x:xf>
    <x:xf numFmtId="0" fontId="28" fillId="5" borderId="31" xfId="0" applyNumberFormat="1" applyFont="1" applyFill="1" applyBorder="1" applyAlignment="1">
      <x:alignment horizontal="center" vertical="center"/>
    </x:xf>
    <x:xf numFmtId="205" fontId="18" fillId="5" borderId="29" xfId="0" applyNumberFormat="1" applyFont="1" applyFill="1" applyBorder="1" applyAlignment="1">
      <x:alignment horizontal="right" vertical="center"/>
    </x:xf>
    <x:xf numFmtId="201" fontId="18" fillId="5" borderId="29" xfId="0" applyNumberFormat="1" applyFont="1" applyFill="1" applyBorder="1" applyAlignment="1">
      <x:alignment horizontal="right" vertical="center"/>
    </x:xf>
    <x:xf numFmtId="202" fontId="18" fillId="5" borderId="29" xfId="0" applyNumberFormat="1" applyFont="1" applyFill="1" applyBorder="1" applyAlignment="1">
      <x:alignment horizontal="right" vertical="center"/>
    </x:xf>
    <x:xf numFmtId="0" fontId="21" fillId="2" borderId="0" xfId="0" applyNumberFormat="1" applyFont="1" applyFill="1" applyBorder="1" applyAlignment="1">
      <x:alignment horizontal="center" vertical="center" wrapText="1"/>
    </x:xf>
    <x:xf numFmtId="0" fontId="22" fillId="5" borderId="8" xfId="0" applyNumberFormat="1" applyFont="1" applyFill="1" applyBorder="1" applyAlignment="1">
      <x:alignment vertical="center"/>
    </x:xf>
    <x:xf numFmtId="0" fontId="22" fillId="5" borderId="27" xfId="0" applyNumberFormat="1" applyFont="1" applyFill="1" applyBorder="1" applyAlignment="1">
      <x:alignment vertical="center" wrapText="1"/>
    </x:xf>
    <x:xf numFmtId="0" fontId="22" fillId="5" borderId="27" xfId="0" applyNumberFormat="1" applyFont="1" applyFill="1" applyBorder="1" applyAlignment="1">
      <x:alignment horizontal="right" vertical="center"/>
    </x:xf>
    <x:xf numFmtId="0" fontId="29" fillId="5" borderId="27" xfId="0" applyNumberFormat="1" applyFont="1" applyFill="1" applyBorder="1" applyAlignment="1">
      <x:alignment horizontal="center" vertical="center"/>
    </x:xf>
    <x:xf numFmtId="0" fontId="22" fillId="5" borderId="6" xfId="0" applyNumberFormat="1" applyFont="1" applyFill="1" applyBorder="1" applyAlignment="1">
      <x:alignment vertical="center" wrapText="1"/>
    </x:xf>
    <x:xf numFmtId="0" fontId="22" fillId="5" borderId="28" xfId="0" applyNumberFormat="1" applyFont="1" applyFill="1" applyBorder="1" applyAlignment="1">
      <x:alignment vertical="center"/>
    </x:xf>
    <x:xf numFmtId="0" fontId="22" fillId="5" borderId="29" xfId="0" applyNumberFormat="1" applyFont="1" applyFill="1" applyBorder="1" applyAlignment="1">
      <x:alignment vertical="center" wrapText="1"/>
    </x:xf>
    <x:xf numFmtId="0" fontId="22" fillId="5" borderId="29" xfId="0" applyNumberFormat="1" applyFont="1" applyFill="1" applyBorder="1" applyAlignment="1">
      <x:alignment horizontal="right" vertical="center"/>
    </x:xf>
    <x:xf numFmtId="0" fontId="29" fillId="5" borderId="29" xfId="0" applyNumberFormat="1" applyFont="1" applyFill="1" applyBorder="1" applyAlignment="1">
      <x:alignment horizontal="center" vertical="center"/>
    </x:xf>
    <x:xf numFmtId="0" fontId="22" fillId="5" borderId="30" xfId="0" applyNumberFormat="1" applyFont="1" applyFill="1" applyBorder="1" applyAlignment="1">
      <x:alignment vertical="center" wrapText="1"/>
    </x:xf>
    <x:xf numFmtId="202" fontId="22" fillId="5" borderId="29" xfId="0" applyNumberFormat="1" applyFont="1" applyFill="1" applyBorder="1" applyAlignment="1">
      <x:alignment horizontal="right" vertical="center"/>
    </x:xf>
    <x:xf numFmtId="205" fontId="22" fillId="5" borderId="29" xfId="0" applyNumberFormat="1" applyFont="1" applyFill="1" applyBorder="1" applyAlignment="1">
      <x:alignment horizontal="right" vertical="center"/>
    </x:xf>
    <x:xf numFmtId="201" fontId="22" fillId="5" borderId="29" xfId="0" applyNumberFormat="1" applyFont="1" applyFill="1" applyBorder="1" applyAlignment="1">
      <x:alignment horizontal="right" vertical="center"/>
    </x:xf>
    <x:xf numFmtId="0" fontId="22" fillId="5" borderId="3" xfId="0" applyNumberFormat="1" applyFont="1" applyFill="1" applyBorder="1" applyAlignment="1">
      <x:alignment vertical="center"/>
    </x:xf>
    <x:xf numFmtId="0" fontId="22" fillId="5" borderId="31" xfId="0" applyNumberFormat="1" applyFont="1" applyFill="1" applyBorder="1" applyAlignment="1">
      <x:alignment vertical="center" wrapText="1"/>
    </x:xf>
    <x:xf numFmtId="0" fontId="22" fillId="5" borderId="31" xfId="0" applyNumberFormat="1" applyFont="1" applyFill="1" applyBorder="1" applyAlignment="1">
      <x:alignment horizontal="right" vertical="center"/>
    </x:xf>
    <x:xf numFmtId="0" fontId="29" fillId="5" borderId="31" xfId="0" applyNumberFormat="1" applyFont="1" applyFill="1" applyBorder="1" applyAlignment="1">
      <x:alignment horizontal="center" vertical="center"/>
    </x:xf>
    <x:xf numFmtId="0" fontId="22" fillId="5" borderId="1" xfId="0" applyNumberFormat="1" applyFont="1" applyFill="1" applyBorder="1" applyAlignment="1">
      <x:alignment vertical="center" wrapText="1"/>
    </x:xf>
  </x:cellXfs>
  <x:cellStyles count="1">
    <x:cellStyle name="Normal" xfId="0"/>
  </x:cellStyles>
  <x:dxfs count="2">
    <x:dxf>
      <x:font>
        <x:b/>
        <x:color rgb="FF274E13"/>
      </x:font>
      <x:fill>
        <x:patternFill patternType="solid">
          <x:bgColor rgb="FFD9EAD3"/>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ae9dd18727473d" /><Relationship Type="http://schemas.openxmlformats.org/officeDocument/2006/relationships/theme" Target="/xl/theme/theme1.xml" Id="R52ddde0dc5fa419a" /><Relationship Type="http://schemas.openxmlformats.org/officeDocument/2006/relationships/sharedStrings" Target="/xl/sharedStrings.xml" Id="R65a1d55879f74f73" /><Relationship Type="http://schemas.openxmlformats.org/officeDocument/2006/relationships/worksheet" Target="/xl/worksheets/sheet1.xml" Id="R364cf9da67b6484d" /><Relationship Type="http://schemas.openxmlformats.org/officeDocument/2006/relationships/worksheet" Target="/xl/worksheets/sheet2.xml" Id="Rf634f3a2149b4a37" /><Relationship Type="http://schemas.openxmlformats.org/officeDocument/2006/relationships/worksheet" Target="/xl/worksheets/sheet3.xml" Id="R927f49c67a324d7f" /><Relationship Type="http://schemas.openxmlformats.org/officeDocument/2006/relationships/worksheet" Target="/xl/worksheets/sheet4.xml" Id="R42585d5403394fc6"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c30322166b4d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Tips per Hour by Shift Type - Synthetic</a:t>
            </a:r>
          </a:p>
        </c:rich>
      </c:tx>
    </c:title>
    <c:plotArea>
      <c:barChart>
        <c:barDir val="col"/>
        <c:varyColors val="0"/>
        <c:ser>
          <c:idx val="0"/>
          <c:order val="0"/>
          <c:tx>
            <c:v>Average Tips/Hour</c:v>
          </c:tx>
          <c:cat>
            <c:strRef>
              <c:f>'Dashboard'!$F$31:$F$35</c:f>
              <c:strCache>
                <c:ptCount val="0"/>
              </c:strCache>
            </c:strRef>
          </c:cat>
          <c:val>
            <c:numRef>
              <c:f>'Dashboard'!$G$31:$G$35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12</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c30322166b4db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1bea4a2e7f54b3c"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6" customHeight="1">
      <x:c r="A1" s="98" t="str">
        <x:v>ShiftRight Portfolio Demonstration</x:v>
      </x:c>
      <x:c r="B1" s="98" t="str">
        <x:v>ShiftRight Portfolio Demonstration</x:v>
      </x:c>
      <x:c r="C1" s="98" t="str">
        <x:v>ShiftRight Portfolio Demonstration</x:v>
      </x:c>
      <x:c r="D1" s="98" t="str">
        <x:v>ShiftRight Portfolio Demonstration</x:v>
      </x:c>
      <x:c r="E1" s="98" t="str">
        <x:v>ShiftRight Portfolio Demonstration</x:v>
      </x:c>
      <x:c r="F1" s="98" t="str">
        <x:v>ShiftRight Portfolio Demonstration</x:v>
      </x:c>
      <x:c r="G1" s="98" t="str">
        <x:v>ShiftRight Portfolio Demonstration</x:v>
      </x:c>
      <x:c r="H1" s="98" t="str">
        <x:v>ShiftRight Portfolio Demonstration</x:v>
      </x:c>
    </x:row>
    <x:row r="2">
      <x:c r="A2" s="99" t="str">
        <x:v>A privacy-safe workbook prototype using clearly labeled synthetic data.</x:v>
      </x:c>
      <x:c r="B2" s="99" t="str">
        <x:v>A privacy-safe workbook prototype using clearly labeled synthetic data.</x:v>
      </x:c>
      <x:c r="C2" s="99" t="str">
        <x:v>A privacy-safe workbook prototype using clearly labeled synthetic data.</x:v>
      </x:c>
      <x:c r="D2" s="99" t="str">
        <x:v>A privacy-safe workbook prototype using clearly labeled synthetic data.</x:v>
      </x:c>
      <x:c r="E2" s="99" t="str">
        <x:v>A privacy-safe workbook prototype using clearly labeled synthetic data.</x:v>
      </x:c>
      <x:c r="F2" s="99" t="str">
        <x:v>A privacy-safe workbook prototype using clearly labeled synthetic data.</x:v>
      </x:c>
      <x:c r="G2" s="99" t="str">
        <x:v>A privacy-safe workbook prototype using clearly labeled synthetic data.</x:v>
      </x:c>
      <x:c r="H2" s="99" t="str">
        <x:v>A privacy-safe workbook prototype using clearly labeled synthetic data.</x:v>
      </x:c>
    </x:row>
    <x:row r="3">
      <x:c r="A3" s="100"/>
      <x:c r="B3" s="100"/>
      <x:c r="C3" s="100"/>
      <x:c r="D3" s="100"/>
      <x:c r="E3" s="100"/>
      <x:c r="F3" s="100"/>
      <x:c r="G3" s="100"/>
      <x:c r="H3" s="100"/>
    </x:row>
    <x:row r="4" ht="25" customHeight="1">
      <x:c r="A4" s="101" t="str">
        <x:v>What this workbook demonstrates</x:v>
      </x:c>
      <x:c r="B4" s="101" t="str">
        <x:v>What this workbook demonstrates</x:v>
      </x:c>
      <x:c r="C4" s="101" t="str">
        <x:v>What this workbook demonstrates</x:v>
      </x:c>
      <x:c r="D4" s="101" t="str">
        <x:v>What this workbook demonstrates</x:v>
      </x:c>
      <x:c r="E4" s="101" t="str">
        <x:v>What this workbook demonstrates</x:v>
      </x:c>
      <x:c r="F4" s="101" t="str">
        <x:v>What this workbook demonstrates</x:v>
      </x:c>
      <x:c r="G4" s="101" t="str">
        <x:v>What this workbook demonstrates</x:v>
      </x:c>
      <x:c r="H4" s="101" t="str">
        <x:v>What this workbook demonstrates</x:v>
      </x:c>
    </x:row>
    <x:row r="5" ht="25" customHeight="1">
      <x:c r="A5" s="102"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B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C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D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E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F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G5" s="103"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H5" s="104"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row>
    <x:row r="6" ht="25" customHeight="1">
      <x:c r="A6" s="105"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B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C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D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E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F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G6"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H6" s="107"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row>
    <x:row r="7" ht="25" customHeight="1">
      <x:c r="A7" s="105"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B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C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D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E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F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G7" s="106"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H7" s="107"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row>
    <x:row r="8" ht="25" customHeight="1">
      <x:c r="A8" s="108"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B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C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D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E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F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G8" s="109"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c r="H8" s="110" t="str">
        <x:v>ShiftRight explores how a service-industry worker could record financial and workplace-experience information, then review simple patterns across shifts. This demo focuses on structured data, portable spreadsheet formulas, privacy-aware presentation, and visible QA evidence. It is a prototype, not a deployed application or proof of workplace outcomes.</x:v>
      </x:c>
    </x:row>
    <x:row r="9">
      <x:c r="A9" s="100"/>
      <x:c r="B9" s="100"/>
      <x:c r="C9" s="100"/>
      <x:c r="D9" s="100"/>
      <x:c r="E9" s="100"/>
      <x:c r="F9" s="100"/>
      <x:c r="G9" s="100"/>
      <x:c r="H9" s="100"/>
    </x:row>
    <x:row r="10" ht="25" customHeight="1">
      <x:c r="A10" s="101" t="str">
        <x:v>Important data notice</x:v>
      </x:c>
      <x:c r="B10" s="101" t="str">
        <x:v>Important data notice</x:v>
      </x:c>
      <x:c r="C10" s="101" t="str">
        <x:v>Important data notice</x:v>
      </x:c>
      <x:c r="D10" s="101" t="str">
        <x:v>Important data notice</x:v>
      </x:c>
      <x:c r="E10" s="101" t="str">
        <x:v>Important data notice</x:v>
      </x:c>
      <x:c r="F10" s="101" t="str">
        <x:v>Important data notice</x:v>
      </x:c>
      <x:c r="G10" s="101" t="str">
        <x:v>Important data notice</x:v>
      </x:c>
      <x:c r="H10" s="101" t="str">
        <x:v>Important data notice</x:v>
      </x:c>
    </x:row>
    <x:row r="11" ht="25" customHeight="1">
      <x:c r="A11" s="111"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B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C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D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E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F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G11" s="112"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H11" s="113"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row>
    <x:row r="12" ht="25" customHeight="1">
      <x:c r="A12" s="114"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B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C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D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E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F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G12"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H12" s="116"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row>
    <x:row r="13" ht="25" customHeight="1">
      <x:c r="A13" s="114"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B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C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D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E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F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G13" s="115"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H13" s="116"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row>
    <x:row r="14" ht="25" customHeight="1">
      <x:c r="A14" s="117"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B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C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D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E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F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G14" s="118"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c r="H14" s="119" t="str">
        <x:v>Every shift record in this workbook is fictional and labeled SYNTHETIC. The dates, amounts, ratings, and scenarios were created only to demonstrate formulas and test cases. They do not represent the project owner's employment history, another person's data, or measured product results.</x:v>
      </x:c>
    </x:row>
    <x:row r="15">
      <x:c r="A15" s="100"/>
      <x:c r="B15" s="100"/>
      <x:c r="C15" s="100"/>
      <x:c r="D15" s="100"/>
      <x:c r="E15" s="100"/>
      <x:c r="F15" s="100"/>
      <x:c r="G15" s="100"/>
      <x:c r="H15" s="100"/>
    </x:row>
    <x:row r="16" ht="25" customHeight="1">
      <x:c r="A16" s="101" t="str">
        <x:v>How to review the demo</x:v>
      </x:c>
      <x:c r="B16" s="101" t="str">
        <x:v>How to review the demo</x:v>
      </x:c>
      <x:c r="C16" s="101" t="str">
        <x:v>How to review the demo</x:v>
      </x:c>
      <x:c r="D16" s="101" t="str">
        <x:v>How to review the demo</x:v>
      </x:c>
      <x:c r="E16" s="101" t="str">
        <x:v>How to review the demo</x:v>
      </x:c>
      <x:c r="F16" s="101" t="str">
        <x:v>How to review the demo</x:v>
      </x:c>
      <x:c r="G16" s="101" t="str">
        <x:v>How to review the demo</x:v>
      </x:c>
      <x:c r="H16" s="101" t="str">
        <x:v>How to review the demo</x:v>
      </x:c>
    </x:row>
    <x:row r="17" ht="31" customHeight="1">
      <x:c r="A17" s="120" t="str">
        <x:v>1</x:v>
      </x:c>
      <x:c r="B17" s="121" t="str">
        <x:v>Open Demo Shift Entries to inspect the controlled sample records and row-level formulas.</x:v>
      </x:c>
      <x:c r="C17" s="122"/>
      <x:c r="D17" s="122"/>
      <x:c r="E17" s="122"/>
      <x:c r="F17" s="122"/>
      <x:c r="G17" s="122"/>
      <x:c r="H17" s="123"/>
    </x:row>
    <x:row r="18" ht="31" customHeight="1">
      <x:c r="A18" s="120" t="str">
        <x:v>2</x:v>
      </x:c>
      <x:c r="B18" s="124" t="str">
        <x:v>Open Dashboard to review totals, rates, category comparisons, and the chart.</x:v>
      </x:c>
      <x:c r="C18" s="125"/>
      <x:c r="D18" s="125"/>
      <x:c r="E18" s="125"/>
      <x:c r="F18" s="125"/>
      <x:c r="G18" s="125"/>
      <x:c r="H18" s="126"/>
    </x:row>
    <x:row r="19" ht="31" customHeight="1">
      <x:c r="A19" s="120" t="str">
        <x:v>3</x:v>
      </x:c>
      <x:c r="B19" s="124" t="str">
        <x:v>Open QA Evidence to compare expected results with calculated results.</x:v>
      </x:c>
      <x:c r="C19" s="125"/>
      <x:c r="D19" s="125"/>
      <x:c r="E19" s="125"/>
      <x:c r="F19" s="125"/>
      <x:c r="G19" s="125"/>
      <x:c r="H19" s="126"/>
    </x:row>
    <x:row r="20" ht="31" customHeight="1">
      <x:c r="A20" s="120" t="str">
        <x:v>4</x:v>
      </x:c>
      <x:c r="B20" s="124" t="str">
        <x:v>Change values only in a private copy; the delivered workbook is evidence of the tested baseline.</x:v>
      </x:c>
      <x:c r="C20" s="125"/>
      <x:c r="D20" s="125"/>
      <x:c r="E20" s="125"/>
      <x:c r="F20" s="125"/>
      <x:c r="G20" s="125"/>
      <x:c r="H20" s="126"/>
    </x:row>
    <x:row r="21" ht="31" customHeight="1">
      <x:c r="A21" s="120" t="str">
        <x:v>5</x:v>
      </x:c>
      <x:c r="B21" s="127" t="str">
        <x:v>Treat the original ShiftRight workbooks as private; they were not modified to create this file.</x:v>
      </x:c>
      <x:c r="C21" s="128"/>
      <x:c r="D21" s="128"/>
      <x:c r="E21" s="128"/>
      <x:c r="F21" s="128"/>
      <x:c r="G21" s="128"/>
      <x:c r="H21" s="129"/>
    </x:row>
  </x:sheetData>
  <x:mergeCells>
    <x:mergeCell ref="A1:H1"/>
    <x:mergeCell ref="A2:H2"/>
    <x:mergeCell ref="A4:H4"/>
    <x:mergeCell ref="A5:H8"/>
    <x:mergeCell ref="A10:H10"/>
    <x:mergeCell ref="A11:H14"/>
    <x:mergeCell ref="A16:H16"/>
    <x:mergeCell ref="B17:H17"/>
    <x:mergeCell ref="B18:H18"/>
    <x:mergeCell ref="B19:H19"/>
    <x:mergeCell ref="B20:H20"/>
    <x:mergeCell ref="B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9" hidden="0" customWidth="1"/>
    <x:col min="4" max="4" width="12" hidden="0" customWidth="1"/>
    <x:col min="5" max="5" width="12" hidden="0" customWidth="1"/>
    <x:col min="6" max="6" width="12" hidden="0" customWidth="1"/>
    <x:col min="7" max="7" width="12" hidden="0" customWidth="1"/>
    <x:col min="8" max="8" width="11" hidden="0" customWidth="1"/>
    <x:col min="9" max="9" width="11" hidden="0" customWidth="1"/>
    <x:col min="10" max="10" width="11" hidden="0" customWidth="1"/>
    <x:col min="11" max="11" width="15" hidden="0" customWidth="1"/>
    <x:col min="12" max="12" width="15" hidden="0" customWidth="1"/>
    <x:col min="13" max="13" width="13" hidden="0" customWidth="1"/>
    <x:col min="14" max="14" width="25" hidden="0" customWidth="1"/>
  </x:cols>
  <x:sheetData>
    <x:row r="1" ht="36" customHeight="1">
      <x:c r="A1" s="98" t="str">
        <x:v>Demo Shift Entries</x:v>
      </x:c>
      <x:c r="B1" s="98" t="str">
        <x:v>Demo Shift Entries</x:v>
      </x:c>
      <x:c r="C1" s="98" t="str">
        <x:v>Demo Shift Entries</x:v>
      </x:c>
      <x:c r="D1" s="98" t="str">
        <x:v>Demo Shift Entries</x:v>
      </x:c>
      <x:c r="E1" s="98" t="str">
        <x:v>Demo Shift Entries</x:v>
      </x:c>
      <x:c r="F1" s="98" t="str">
        <x:v>Demo Shift Entries</x:v>
      </x:c>
      <x:c r="G1" s="98" t="str">
        <x:v>Demo Shift Entries</x:v>
      </x:c>
      <x:c r="H1" s="98" t="str">
        <x:v>Demo Shift Entries</x:v>
      </x:c>
      <x:c r="I1" s="98" t="str">
        <x:v>Demo Shift Entries</x:v>
      </x:c>
      <x:c r="J1" s="98" t="str">
        <x:v>Demo Shift Entries</x:v>
      </x:c>
      <x:c r="K1" s="98" t="str">
        <x:v>Demo Shift Entries</x:v>
      </x:c>
      <x:c r="L1" s="98" t="str">
        <x:v>Demo Shift Entries</x:v>
      </x:c>
      <x:c r="M1" s="98" t="str">
        <x:v>Demo Shift Entries</x:v>
      </x:c>
      <x:c r="N1" s="98" t="str">
        <x:v>Demo Shift Entries</x:v>
      </x:c>
    </x:row>
    <x:row r="2">
      <x:c r="A2" s="178" t="str">
        <x:v>Controlled synthetic records for portfolio demonstration and formula testing.</x:v>
      </x:c>
      <x:c r="B2" s="178" t="str">
        <x:v>Controlled synthetic records for portfolio demonstration and formula testing.</x:v>
      </x:c>
      <x:c r="C2" s="178" t="str">
        <x:v>Controlled synthetic records for portfolio demonstration and formula testing.</x:v>
      </x:c>
      <x:c r="D2" s="178" t="str">
        <x:v>Controlled synthetic records for portfolio demonstration and formula testing.</x:v>
      </x:c>
      <x:c r="E2" s="178" t="str">
        <x:v>Controlled synthetic records for portfolio demonstration and formula testing.</x:v>
      </x:c>
      <x:c r="F2" s="178" t="str">
        <x:v>Controlled synthetic records for portfolio demonstration and formula testing.</x:v>
      </x:c>
      <x:c r="G2" s="178" t="str">
        <x:v>Controlled synthetic records for portfolio demonstration and formula testing.</x:v>
      </x:c>
      <x:c r="H2" s="178" t="str">
        <x:v>Controlled synthetic records for portfolio demonstration and formula testing.</x:v>
      </x:c>
      <x:c r="I2" s="178" t="str">
        <x:v>Controlled synthetic records for portfolio demonstration and formula testing.</x:v>
      </x:c>
      <x:c r="J2" s="178" t="str">
        <x:v>Controlled synthetic records for portfolio demonstration and formula testing.</x:v>
      </x:c>
      <x:c r="K2" s="178" t="str">
        <x:v>Controlled synthetic records for portfolio demonstration and formula testing.</x:v>
      </x:c>
      <x:c r="L2" s="178" t="str">
        <x:v>Controlled synthetic records for portfolio demonstration and formula testing.</x:v>
      </x:c>
      <x:c r="M2" s="178" t="str">
        <x:v>Controlled synthetic records for portfolio demonstration and formula testing.</x:v>
      </x:c>
      <x:c r="N2" s="178" t="str">
        <x:v>Controlled synthetic records for portfolio demonstration and formula testing.</x:v>
      </x:c>
    </x:row>
    <x:row r="3">
      <x:c r="A3" s="100"/>
      <x:c r="B3" s="100"/>
      <x:c r="C3" s="100"/>
      <x:c r="D3" s="100"/>
      <x:c r="E3" s="100"/>
      <x:c r="F3" s="100"/>
      <x:c r="G3" s="100"/>
      <x:c r="H3" s="100"/>
      <x:c r="I3" s="100"/>
      <x:c r="J3" s="100"/>
      <x:c r="K3" s="100"/>
      <x:c r="L3" s="100"/>
      <x:c r="M3" s="100"/>
      <x:c r="N3" s="100"/>
    </x:row>
    <x:row r="4" ht="34" customHeight="1">
      <x:c r="A4" s="179" t="str">
        <x:v>Date</x:v>
      </x:c>
      <x:c r="B4" s="180" t="str">
        <x:v>Shift Type</x:v>
      </x:c>
      <x:c r="C4" s="180" t="str">
        <x:v>Hours</x:v>
      </x:c>
      <x:c r="D4" s="180" t="str">
        <x:v>Sales</x:v>
      </x:c>
      <x:c r="E4" s="180" t="str">
        <x:v>Tips</x:v>
      </x:c>
      <x:c r="F4" s="180" t="str">
        <x:v>Tips/Hour</x:v>
      </x:c>
      <x:c r="G4" s="180" t="str">
        <x:v>Tip %</x:v>
      </x:c>
      <x:c r="H4" s="180" t="str">
        <x:v>Mood</x:v>
      </x:c>
      <x:c r="I4" s="180" t="str">
        <x:v>Energy</x:v>
      </x:c>
      <x:c r="J4" s="180" t="str">
        <x:v>Mgmt Support</x:v>
      </x:c>
      <x:c r="K4" s="180" t="str">
        <x:v>Recognized?</x:v>
      </x:c>
      <x:c r="L4" s="180" t="str">
        <x:v>Would Work Again?</x:v>
      </x:c>
      <x:c r="M4" s="180" t="str">
        <x:v>Data Label</x:v>
      </x:c>
      <x:c r="N4" s="181" t="str">
        <x:v>Test Note</x:v>
      </x:c>
    </x:row>
    <x:row r="5" ht="24" customHeight="1">
      <x:c r="A5" s="182" t="n">
        <x:v>46025.5</x:v>
      </x:c>
      <x:c r="B5" s="183" t="str">
        <x:v>Lunch</x:v>
      </x:c>
      <x:c r="C5" s="184" t="n">
        <x:v>4</x:v>
      </x:c>
      <x:c r="D5" s="185" t="n">
        <x:v>400</x:v>
      </x:c>
      <x:c r="E5" s="185" t="n">
        <x:v>60</x:v>
      </x:c>
      <x:c r="F5" s="185" t="n">
        <x:f>IF(C5=0,"",E5/C5)</x:f>
        <x:v>15</x:v>
      </x:c>
      <x:c r="G5" s="186" t="n">
        <x:f>IF(D5=0,"",E5/D5)</x:f>
        <x:v>0.15</x:v>
      </x:c>
      <x:c r="H5" s="187" t="n">
        <x:v>3</x:v>
      </x:c>
      <x:c r="I5" s="187" t="n">
        <x:v>3</x:v>
      </x:c>
      <x:c r="J5" s="187" t="n">
        <x:v>4</x:v>
      </x:c>
      <x:c r="K5" s="188" t="str">
        <x:v>Yes</x:v>
      </x:c>
      <x:c r="L5" s="188" t="str">
        <x:v>Yes</x:v>
      </x:c>
      <x:c r="M5" s="189" t="str">
        <x:v>SYNTHETIC</x:v>
      </x:c>
      <x:c r="N5" s="190" t="str">
        <x:v>Standard positive case</x:v>
      </x:c>
    </x:row>
    <x:row r="6" ht="24" customHeight="1">
      <x:c r="A6" s="191" t="n">
        <x:v>46027.5</x:v>
      </x:c>
      <x:c r="B6" s="192" t="str">
        <x:v>Dinner</x:v>
      </x:c>
      <x:c r="C6" s="193" t="n">
        <x:v>6</x:v>
      </x:c>
      <x:c r="D6" s="194" t="n">
        <x:v>900</x:v>
      </x:c>
      <x:c r="E6" s="194" t="n">
        <x:v>162</x:v>
      </x:c>
      <x:c r="F6" s="194" t="n">
        <x:f>IF(C6=0,"",E6/C6)</x:f>
        <x:v>27</x:v>
      </x:c>
      <x:c r="G6" s="195" t="n">
        <x:f>IF(D6=0,"",E6/D6)</x:f>
        <x:v>0.18</x:v>
      </x:c>
      <x:c r="H6" s="196" t="n">
        <x:v>5</x:v>
      </x:c>
      <x:c r="I6" s="196" t="n">
        <x:v>4</x:v>
      </x:c>
      <x:c r="J6" s="196" t="n">
        <x:v>5</x:v>
      </x:c>
      <x:c r="K6" s="197" t="str">
        <x:v>Yes</x:v>
      </x:c>
      <x:c r="L6" s="197" t="str">
        <x:v>Yes</x:v>
      </x:c>
      <x:c r="M6" s="198" t="str">
        <x:v>SYNTHETIC</x:v>
      </x:c>
      <x:c r="N6" s="199" t="str">
        <x:v>Higher sales and tips</x:v>
      </x:c>
    </x:row>
    <x:row r="7" ht="24" customHeight="1">
      <x:c r="A7" s="191" t="n">
        <x:v>46031.5</x:v>
      </x:c>
      <x:c r="B7" s="192" t="str">
        <x:v>Close</x:v>
      </x:c>
      <x:c r="C7" s="193" t="n">
        <x:v>5</x:v>
      </x:c>
      <x:c r="D7" s="194" t="n">
        <x:v>550</x:v>
      </x:c>
      <x:c r="E7" s="194" t="n">
        <x:v>66</x:v>
      </x:c>
      <x:c r="F7" s="194" t="n">
        <x:f>IF(C7=0,"",E7/C7)</x:f>
        <x:v>13.2</x:v>
      </x:c>
      <x:c r="G7" s="195" t="n">
        <x:f>IF(D7=0,"",E7/D7)</x:f>
        <x:v>0.12</x:v>
      </x:c>
      <x:c r="H7" s="196" t="n">
        <x:v>2</x:v>
      </x:c>
      <x:c r="I7" s="196" t="n">
        <x:v>2</x:v>
      </x:c>
      <x:c r="J7" s="196" t="n">
        <x:v>2</x:v>
      </x:c>
      <x:c r="K7" s="197" t="str">
        <x:v>No</x:v>
      </x:c>
      <x:c r="L7" s="197" t="str">
        <x:v>No</x:v>
      </x:c>
      <x:c r="M7" s="198" t="str">
        <x:v>SYNTHETIC</x:v>
      </x:c>
      <x:c r="N7" s="199" t="str">
        <x:v>Low-rating case</x:v>
      </x:c>
    </x:row>
    <x:row r="8" ht="24" customHeight="1">
      <x:c r="A8" s="191" t="n">
        <x:v>46034.5</x:v>
      </x:c>
      <x:c r="B8" s="192" t="str">
        <x:v>Dinner</x:v>
      </x:c>
      <x:c r="C8" s="193" t="n">
        <x:v>5.5</x:v>
      </x:c>
      <x:c r="D8" s="194" t="n">
        <x:v>825</x:v>
      </x:c>
      <x:c r="E8" s="194" t="n">
        <x:v>148.5</x:v>
      </x:c>
      <x:c r="F8" s="194" t="n">
        <x:f>IF(C8=0,"",E8/C8)</x:f>
        <x:v>27</x:v>
      </x:c>
      <x:c r="G8" s="195" t="n">
        <x:f>IF(D8=0,"",E8/D8)</x:f>
        <x:v>0.18</x:v>
      </x:c>
      <x:c r="H8" s="196" t="n">
        <x:v>4</x:v>
      </x:c>
      <x:c r="I8" s="196" t="n">
        <x:v>4</x:v>
      </x:c>
      <x:c r="J8" s="196" t="n">
        <x:v>4</x:v>
      </x:c>
      <x:c r="K8" s="197" t="str">
        <x:v>Yes</x:v>
      </x:c>
      <x:c r="L8" s="197" t="str">
        <x:v>Yes</x:v>
      </x:c>
      <x:c r="M8" s="198" t="str">
        <x:v>SYNTHETIC</x:v>
      </x:c>
      <x:c r="N8" s="199" t="str">
        <x:v>Decimal-hours case</x:v>
      </x:c>
    </x:row>
    <x:row r="9" ht="24" customHeight="1">
      <x:c r="A9" s="191" t="n">
        <x:v>46038.5</x:v>
      </x:c>
      <x:c r="B9" s="192" t="str">
        <x:v>Lunch</x:v>
      </x:c>
      <x:c r="C9" s="193" t="n">
        <x:v>0</x:v>
      </x:c>
      <x:c r="D9" s="194" t="n">
        <x:v>0</x:v>
      </x:c>
      <x:c r="E9" s="194" t="n">
        <x:v>0</x:v>
      </x:c>
      <x:c r="F9" s="194" t="str">
        <x:f>IF(C9=0,"",E9/C9)</x:f>
      </x:c>
      <x:c r="G9" s="195" t="str">
        <x:f>IF(D9=0,"",E9/D9)</x:f>
      </x:c>
      <x:c r="H9" s="196" t="n">
        <x:v>3</x:v>
      </x:c>
      <x:c r="I9" s="196" t="n">
        <x:v>3</x:v>
      </x:c>
      <x:c r="J9" s="196" t="n">
        <x:v>3</x:v>
      </x:c>
      <x:c r="K9" s="197" t="str">
        <x:v>No</x:v>
      </x:c>
      <x:c r="L9" s="197" t="str">
        <x:v>Yes</x:v>
      </x:c>
      <x:c r="M9" s="198" t="str">
        <x:v>SYNTHETIC</x:v>
      </x:c>
      <x:c r="N9" s="199" t="str">
        <x:v>Zero-denominator case</x:v>
      </x:c>
    </x:row>
    <x:row r="10" ht="24" customHeight="1">
      <x:c r="A10" s="191" t="n">
        <x:v>46055.5</x:v>
      </x:c>
      <x:c r="B10" s="192" t="str">
        <x:v>Open</x:v>
      </x:c>
      <x:c r="C10" s="193" t="n">
        <x:v>4.5</x:v>
      </x:c>
      <x:c r="D10" s="194" t="n">
        <x:v>630</x:v>
      </x:c>
      <x:c r="E10" s="194" t="n">
        <x:v>94.5</x:v>
      </x:c>
      <x:c r="F10" s="194" t="n">
        <x:f>IF(C10=0,"",E10/C10)</x:f>
        <x:v>21</x:v>
      </x:c>
      <x:c r="G10" s="195" t="n">
        <x:f>IF(D10=0,"",E10/D10)</x:f>
        <x:v>0.15</x:v>
      </x:c>
      <x:c r="H10" s="196" t="n">
        <x:v>4</x:v>
      </x:c>
      <x:c r="I10" s="196" t="n">
        <x:v>4</x:v>
      </x:c>
      <x:c r="J10" s="196" t="n">
        <x:v>4</x:v>
      </x:c>
      <x:c r="K10" s="197" t="str">
        <x:v>Yes</x:v>
      </x:c>
      <x:c r="L10" s="197" t="str">
        <x:v>Yes</x:v>
      </x:c>
      <x:c r="M10" s="198" t="str">
        <x:v>SYNTHETIC</x:v>
      </x:c>
      <x:c r="N10" s="199" t="str">
        <x:v>Second decimal-hours case</x:v>
      </x:c>
    </x:row>
    <x:row r="11" ht="24" customHeight="1">
      <x:c r="A11" s="191" t="n">
        <x:v>46060.5</x:v>
      </x:c>
      <x:c r="B11" s="192" t="str">
        <x:v>Dinner</x:v>
      </x:c>
      <x:c r="C11" s="193" t="n">
        <x:v>7</x:v>
      </x:c>
      <x:c r="D11" s="194" t="n">
        <x:v>1120</x:v>
      </x:c>
      <x:c r="E11" s="194" t="n">
        <x:v>224</x:v>
      </x:c>
      <x:c r="F11" s="194" t="n">
        <x:f>IF(C11=0,"",E11/C11)</x:f>
        <x:v>32</x:v>
      </x:c>
      <x:c r="G11" s="195" t="n">
        <x:f>IF(D11=0,"",E11/D11)</x:f>
        <x:v>0.2</x:v>
      </x:c>
      <x:c r="H11" s="196" t="n">
        <x:v>5</x:v>
      </x:c>
      <x:c r="I11" s="196" t="n">
        <x:v>3</x:v>
      </x:c>
      <x:c r="J11" s="196" t="n">
        <x:v>5</x:v>
      </x:c>
      <x:c r="K11" s="197" t="str">
        <x:v>Yes</x:v>
      </x:c>
      <x:c r="L11" s="197" t="str">
        <x:v>Yes</x:v>
      </x:c>
      <x:c r="M11" s="198" t="str">
        <x:v>SYNTHETIC</x:v>
      </x:c>
      <x:c r="N11" s="199" t="str">
        <x:v>High-volume case</x:v>
      </x:c>
    </x:row>
    <x:row r="12" ht="24" customHeight="1">
      <x:c r="A12" s="191" t="n">
        <x:v>46063.5</x:v>
      </x:c>
      <x:c r="B12" s="192" t="str">
        <x:v>Close</x:v>
      </x:c>
      <x:c r="C12" s="193" t="n">
        <x:v>5</x:v>
      </x:c>
      <x:c r="D12" s="194" t="n">
        <x:v>500</x:v>
      </x:c>
      <x:c r="E12" s="194" t="n">
        <x:v>50</x:v>
      </x:c>
      <x:c r="F12" s="194" t="n">
        <x:f>IF(C12=0,"",E12/C12)</x:f>
        <x:v>10</x:v>
      </x:c>
      <x:c r="G12" s="195" t="n">
        <x:f>IF(D12=0,"",E12/D12)</x:f>
        <x:v>0.1</x:v>
      </x:c>
      <x:c r="H12" s="196" t="n">
        <x:v>1</x:v>
      </x:c>
      <x:c r="I12" s="196" t="n">
        <x:v>1</x:v>
      </x:c>
      <x:c r="J12" s="196" t="n">
        <x:v>1</x:v>
      </x:c>
      <x:c r="K12" s="197" t="str">
        <x:v>No</x:v>
      </x:c>
      <x:c r="L12" s="197" t="str">
        <x:v>No</x:v>
      </x:c>
      <x:c r="M12" s="198" t="str">
        <x:v>SYNTHETIC</x:v>
      </x:c>
      <x:c r="N12" s="199" t="str">
        <x:v>Lowest-rating boundary</x:v>
      </x:c>
    </x:row>
    <x:row r="13" ht="24" customHeight="1">
      <x:c r="A13" s="191" t="n">
        <x:v>46067.5</x:v>
      </x:c>
      <x:c r="B13" s="192" t="str">
        <x:v>Lunch</x:v>
      </x:c>
      <x:c r="C13" s="193" t="n">
        <x:v>6</x:v>
      </x:c>
      <x:c r="D13" s="194" t="n">
        <x:v>720</x:v>
      </x:c>
      <x:c r="E13" s="194" t="n">
        <x:v>108</x:v>
      </x:c>
      <x:c r="F13" s="194" t="n">
        <x:f>IF(C13=0,"",E13/C13)</x:f>
        <x:v>18</x:v>
      </x:c>
      <x:c r="G13" s="195" t="n">
        <x:f>IF(D13=0,"",E13/D13)</x:f>
        <x:v>0.15</x:v>
      </x:c>
      <x:c r="H13" s="196" t="n">
        <x:v>3</x:v>
      </x:c>
      <x:c r="I13" s="196" t="n">
        <x:v>2</x:v>
      </x:c>
      <x:c r="J13" s="196" t="n">
        <x:v>3</x:v>
      </x:c>
      <x:c r="K13" s="197" t="str">
        <x:v>No</x:v>
      </x:c>
      <x:c r="L13" s="197" t="str">
        <x:v>Yes</x:v>
      </x:c>
      <x:c r="M13" s="198" t="str">
        <x:v>SYNTHETIC</x:v>
      </x:c>
      <x:c r="N13" s="199" t="str">
        <x:v>Recognition-no case</x:v>
      </x:c>
    </x:row>
    <x:row r="14" ht="24" customHeight="1">
      <x:c r="A14" s="191" t="n">
        <x:v>46074.5</x:v>
      </x:c>
      <x:c r="B14" s="192" t="str">
        <x:v>Double</x:v>
      </x:c>
      <x:c r="C14" s="193" t="n">
        <x:v>8</x:v>
      </x:c>
      <x:c r="D14" s="194" t="n">
        <x:v>1440</x:v>
      </x:c>
      <x:c r="E14" s="194" t="n">
        <x:v>288</x:v>
      </x:c>
      <x:c r="F14" s="194" t="n">
        <x:f>IF(C14=0,"",E14/C14)</x:f>
        <x:v>36</x:v>
      </x:c>
      <x:c r="G14" s="195" t="n">
        <x:f>IF(D14=0,"",E14/D14)</x:f>
        <x:v>0.2</x:v>
      </x:c>
      <x:c r="H14" s="196" t="n">
        <x:v>4</x:v>
      </x:c>
      <x:c r="I14" s="196" t="n">
        <x:v>2</x:v>
      </x:c>
      <x:c r="J14" s="196" t="n">
        <x:v>4</x:v>
      </x:c>
      <x:c r="K14" s="197" t="str">
        <x:v>Yes</x:v>
      </x:c>
      <x:c r="L14" s="197" t="str">
        <x:v>Yes</x:v>
      </x:c>
      <x:c r="M14" s="198" t="str">
        <x:v>SYNTHETIC</x:v>
      </x:c>
      <x:c r="N14" s="199" t="str">
        <x:v>Longest-shift case</x:v>
      </x:c>
    </x:row>
  </x:sheetData>
  <x:mergeCells>
    <x:mergeCell ref="A1:N1"/>
    <x:mergeCell ref="A2:N2"/>
  </x:mergeCells>
  <x:conditionalFormatting sqref="H5:J14">
    <x:cfRule type="colorScale" priority="1">
      <x:colorScale>
        <x:cfvo type="min"/>
        <x:cfvo type="percentile" val="50"/>
        <x:cfvo type="max"/>
        <x:color rgb="FFF4CCCC"/>
        <x:color rgb="FFFFF2CC"/>
        <x:color rgb="FFD9EAD3"/>
      </x:colorScale>
    </x:cfRule>
  </x:conditionalFormatting>
  <x:dataValidations count="3">
    <x:dataValidation type="list" sqref="B5:B104">
      <x:formula1>"Lunch,Dinner,Open,Close,Double"</x:formula1>
    </x:dataValidation>
    <x:dataValidation type="whole" operator="between" sqref="H5:J104">
      <x:formula1>1</x:formula1>
      <x:formula2>5</x:formula2>
    </x:dataValidation>
    <x:dataValidation type="list" sqref="K5:L104">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s>
  <x:sheetData>
    <x:row r="1" ht="36" customHeight="1">
      <x:c r="A1" s="98" t="str">
        <x:v>ShiftRight Dashboard - Synthetic Demonstration</x:v>
      </x:c>
      <x:c r="B1" s="98" t="str">
        <x:v>ShiftRight Dashboard - Synthetic Demonstration</x:v>
      </x:c>
      <x:c r="C1" s="98" t="str">
        <x:v>ShiftRight Dashboard - Synthetic Demonstration</x:v>
      </x:c>
      <x:c r="D1" s="98" t="str">
        <x:v>ShiftRight Dashboard - Synthetic Demonstration</x:v>
      </x:c>
      <x:c r="E1" s="98" t="str">
        <x:v>ShiftRight Dashboard - Synthetic Demonstration</x:v>
      </x:c>
      <x:c r="F1" s="98" t="str">
        <x:v>ShiftRight Dashboard - Synthetic Demonstration</x:v>
      </x:c>
      <x:c r="G1" s="98" t="str">
        <x:v>ShiftRight Dashboard - Synthetic Demonstration</x:v>
      </x:c>
      <x:c r="H1" s="98" t="str">
        <x:v>ShiftRight Dashboard - Synthetic Demonstration</x:v>
      </x:c>
      <x:c r="I1" s="98" t="str">
        <x:v>ShiftRight Dashboard - Synthetic Demonstration</x:v>
      </x:c>
      <x:c r="J1" s="98" t="str">
        <x:v>ShiftRight Dashboard - Synthetic Demonstration</x:v>
      </x:c>
      <x:c r="K1" s="98" t="str">
        <x:v>ShiftRight Dashboard - Synthetic Demonstration</x:v>
      </x:c>
      <x:c r="L1" s="98" t="str">
        <x:v>ShiftRight Dashboard - Synthetic Demonstration</x:v>
      </x:c>
      <x:c r="M1" s="98" t="str">
        <x:v>ShiftRight Dashboard - Synthetic Demonstration</x:v>
      </x:c>
    </x:row>
    <x:row r="2">
      <x:c r="A2" s="178" t="str">
        <x:v>All values below are calculated from the fictional records in Demo Shift Entries.</x:v>
      </x:c>
      <x:c r="B2" s="178" t="str">
        <x:v>All values below are calculated from the fictional records in Demo Shift Entries.</x:v>
      </x:c>
      <x:c r="C2" s="178" t="str">
        <x:v>All values below are calculated from the fictional records in Demo Shift Entries.</x:v>
      </x:c>
      <x:c r="D2" s="178" t="str">
        <x:v>All values below are calculated from the fictional records in Demo Shift Entries.</x:v>
      </x:c>
      <x:c r="E2" s="178" t="str">
        <x:v>All values below are calculated from the fictional records in Demo Shift Entries.</x:v>
      </x:c>
      <x:c r="F2" s="178" t="str">
        <x:v>All values below are calculated from the fictional records in Demo Shift Entries.</x:v>
      </x:c>
      <x:c r="G2" s="178" t="str">
        <x:v>All values below are calculated from the fictional records in Demo Shift Entries.</x:v>
      </x:c>
      <x:c r="H2" s="178" t="str">
        <x:v>All values below are calculated from the fictional records in Demo Shift Entries.</x:v>
      </x:c>
      <x:c r="I2" s="178" t="str">
        <x:v>All values below are calculated from the fictional records in Demo Shift Entries.</x:v>
      </x:c>
      <x:c r="J2" s="178" t="str">
        <x:v>All values below are calculated from the fictional records in Demo Shift Entries.</x:v>
      </x:c>
      <x:c r="K2" s="178" t="str">
        <x:v>All values below are calculated from the fictional records in Demo Shift Entries.</x:v>
      </x:c>
      <x:c r="L2" s="178" t="str">
        <x:v>All values below are calculated from the fictional records in Demo Shift Entries.</x:v>
      </x:c>
      <x:c r="M2" s="178" t="str">
        <x:v>All values below are calculated from the fictional records in Demo Shift Entries.</x:v>
      </x:c>
    </x:row>
    <x:row r="3">
      <x:c r="A3" s="100"/>
      <x:c r="B3" s="100"/>
      <x:c r="C3" s="100"/>
      <x:c r="D3" s="100"/>
      <x:c r="E3" s="100"/>
      <x:c r="F3" s="100"/>
      <x:c r="G3" s="100"/>
      <x:c r="H3" s="100"/>
      <x:c r="I3" s="100"/>
      <x:c r="J3" s="100"/>
      <x:c r="K3" s="100"/>
      <x:c r="L3" s="100"/>
      <x:c r="M3" s="100"/>
    </x:row>
    <x:row r="4">
      <x:c r="A4" s="275" t="str">
        <x:v>Total Shifts</x:v>
      </x:c>
      <x:c r="B4" s="276" t="str">
        <x:v>Total Shifts</x:v>
      </x:c>
      <x:c r="C4" s="275" t="str">
        <x:v>Total Hours</x:v>
      </x:c>
      <x:c r="D4" s="276" t="str">
        <x:v>Total Hours</x:v>
      </x:c>
      <x:c r="E4" s="275" t="str">
        <x:v>Total Sales</x:v>
      </x:c>
      <x:c r="F4" s="276" t="str">
        <x:v>Total Sales</x:v>
      </x:c>
      <x:c r="G4" s="275" t="str">
        <x:v>Total Tips</x:v>
      </x:c>
      <x:c r="H4" s="276" t="str">
        <x:v>Total Tips</x:v>
      </x:c>
      <x:c r="I4" s="100"/>
      <x:c r="J4" s="100"/>
      <x:c r="K4" s="100"/>
      <x:c r="L4" s="100"/>
      <x:c r="M4" s="100"/>
    </x:row>
    <x:row r="5">
      <x:c r="A5" s="277" t="n">
        <x:f>COUNTA('Demo Shift Entries'!A5:A14)</x:f>
        <x:v>10</x:v>
      </x:c>
      <x:c r="B5" s="278"/>
      <x:c r="C5" s="279" t="n">
        <x:f>SUM('Demo Shift Entries'!C5:C14)</x:f>
        <x:v>51</x:v>
      </x:c>
      <x:c r="D5" s="280"/>
      <x:c r="E5" s="281" t="n">
        <x:f>SUM('Demo Shift Entries'!D5:D14)</x:f>
        <x:v>7085</x:v>
      </x:c>
      <x:c r="F5" s="282"/>
      <x:c r="G5" s="281" t="n">
        <x:f>SUM('Demo Shift Entries'!E5:E14)</x:f>
        <x:v>1201</x:v>
      </x:c>
      <x:c r="H5" s="282"/>
      <x:c r="I5" s="100"/>
      <x:c r="J5" s="100"/>
      <x:c r="K5" s="100"/>
      <x:c r="L5" s="100"/>
      <x:c r="M5" s="100"/>
    </x:row>
    <x:row r="6">
      <x:c r="A6" s="283"/>
      <x:c r="B6" s="284"/>
      <x:c r="C6" s="285"/>
      <x:c r="D6" s="286"/>
      <x:c r="E6" s="287"/>
      <x:c r="F6" s="288"/>
      <x:c r="G6" s="287"/>
      <x:c r="H6" s="288"/>
      <x:c r="I6" s="100"/>
      <x:c r="J6" s="100"/>
      <x:c r="K6" s="100"/>
      <x:c r="L6" s="100"/>
      <x:c r="M6" s="100"/>
    </x:row>
    <x:row r="7">
      <x:c r="A7" s="100"/>
      <x:c r="B7" s="100"/>
      <x:c r="C7" s="100"/>
      <x:c r="D7" s="100"/>
      <x:c r="E7" s="100"/>
      <x:c r="F7" s="100"/>
      <x:c r="G7" s="100"/>
      <x:c r="H7" s="100"/>
      <x:c r="I7" s="100"/>
      <x:c r="J7" s="100"/>
      <x:c r="K7" s="100"/>
      <x:c r="L7" s="100"/>
      <x:c r="M7" s="100"/>
    </x:row>
    <x:row r="8">
      <x:c r="A8" s="275" t="str">
        <x:v>Average Tips/Hour</x:v>
      </x:c>
      <x:c r="B8" s="276" t="str">
        <x:v>Average Tips/Hour</x:v>
      </x:c>
      <x:c r="C8" s="275" t="str">
        <x:v>Average Mood</x:v>
      </x:c>
      <x:c r="D8" s="276" t="str">
        <x:v>Average Mood</x:v>
      </x:c>
      <x:c r="E8" s="275" t="str">
        <x:v>Recognition Rate</x:v>
      </x:c>
      <x:c r="F8" s="276" t="str">
        <x:v>Recognition Rate</x:v>
      </x:c>
      <x:c r="G8" s="275" t="str">
        <x:v>Would Work Again</x:v>
      </x:c>
      <x:c r="H8" s="276" t="str">
        <x:v>Would Work Again</x:v>
      </x:c>
      <x:c r="I8" s="100"/>
      <x:c r="J8" s="100"/>
      <x:c r="K8" s="100"/>
      <x:c r="L8" s="100"/>
      <x:c r="M8" s="100"/>
    </x:row>
    <x:row r="9">
      <x:c r="A9" s="281" t="n">
        <x:f>AVERAGE('Demo Shift Entries'!F5:F14)</x:f>
        <x:v>22.133333333333333</x:v>
      </x:c>
      <x:c r="B9" s="282"/>
      <x:c r="C9" s="279" t="n">
        <x:f>AVERAGE('Demo Shift Entries'!H5:H14)</x:f>
        <x:v>3.4</x:v>
      </x:c>
      <x:c r="D9" s="280"/>
      <x:c r="E9" s="289" t="n">
        <x:f>COUNTIF('Demo Shift Entries'!K5:K14,"Yes")/COUNTA('Demo Shift Entries'!K5:K14)</x:f>
        <x:v>0.6</x:v>
      </x:c>
      <x:c r="F9" s="290"/>
      <x:c r="G9" s="289" t="n">
        <x:f>COUNTIF('Demo Shift Entries'!L5:L14,"Yes")/COUNTA('Demo Shift Entries'!L5:L14)</x:f>
        <x:v>0.8</x:v>
      </x:c>
      <x:c r="H9" s="290"/>
      <x:c r="I9" s="100"/>
      <x:c r="J9" s="100"/>
      <x:c r="K9" s="100"/>
      <x:c r="L9" s="100"/>
      <x:c r="M9" s="100"/>
    </x:row>
    <x:row r="10">
      <x:c r="A10" s="287"/>
      <x:c r="B10" s="288"/>
      <x:c r="C10" s="285"/>
      <x:c r="D10" s="286"/>
      <x:c r="E10" s="291"/>
      <x:c r="F10" s="292"/>
      <x:c r="G10" s="291"/>
      <x:c r="H10" s="292"/>
      <x:c r="I10" s="100"/>
      <x:c r="J10" s="100"/>
      <x:c r="K10" s="100"/>
      <x:c r="L10" s="100"/>
      <x:c r="M10" s="100"/>
    </x:row>
    <x:row r="11">
      <x:c r="A11" s="100"/>
      <x:c r="B11" s="100"/>
      <x:c r="C11" s="100"/>
      <x:c r="D11" s="100"/>
      <x:c r="E11" s="100"/>
      <x:c r="F11" s="100"/>
      <x:c r="G11" s="100"/>
      <x:c r="H11" s="100"/>
      <x:c r="I11" s="100"/>
      <x:c r="J11" s="100"/>
      <x:c r="K11" s="100"/>
      <x:c r="L11" s="100"/>
      <x:c r="M11" s="100"/>
    </x:row>
    <x:row r="12">
      <x:c r="A12" s="100"/>
      <x:c r="B12" s="100"/>
      <x:c r="C12" s="100"/>
      <x:c r="D12" s="100"/>
      <x:c r="E12" s="100"/>
      <x:c r="F12" s="100"/>
      <x:c r="G12" s="100"/>
      <x:c r="H12" s="100"/>
      <x:c r="I12" s="100"/>
      <x:c r="J12" s="100"/>
      <x:c r="K12" s="100"/>
      <x:c r="L12" s="100"/>
      <x:c r="M12" s="100"/>
    </x:row>
    <x:row r="13" ht="25" customHeight="1">
      <x:c r="A13" s="101" t="str">
        <x:v>Average earnings by shift type</x:v>
      </x:c>
      <x:c r="B13" s="101" t="str">
        <x:v>Average earnings by shift type</x:v>
      </x:c>
      <x:c r="C13" s="101" t="str">
        <x:v>Average earnings by shift type</x:v>
      </x:c>
      <x:c r="D13" s="101" t="str">
        <x:v>Average earnings by shift type</x:v>
      </x:c>
      <x:c r="E13" s="100"/>
      <x:c r="F13" s="100"/>
      <x:c r="G13" s="100"/>
      <x:c r="H13" s="100"/>
      <x:c r="I13" s="100"/>
      <x:c r="J13" s="100"/>
      <x:c r="K13" s="100"/>
      <x:c r="L13" s="100"/>
      <x:c r="M13" s="100"/>
    </x:row>
    <x:row r="14">
      <x:c r="A14" s="293" t="str">
        <x:v>Shift Type</x:v>
      </x:c>
      <x:c r="B14" s="294" t="str">
        <x:v>Shifts</x:v>
      </x:c>
      <x:c r="C14" s="294" t="str">
        <x:v>Total Tips</x:v>
      </x:c>
      <x:c r="D14" s="295" t="str">
        <x:v>Avg Tips/Hour</x:v>
      </x:c>
      <x:c r="E14" s="100"/>
      <x:c r="F14" s="100"/>
      <x:c r="G14" s="100"/>
      <x:c r="H14" s="100"/>
      <x:c r="I14" s="100"/>
      <x:c r="J14" s="100"/>
      <x:c r="K14" s="100"/>
      <x:c r="L14" s="100"/>
      <x:c r="M14" s="100"/>
    </x:row>
    <x:row r="15">
      <x:c r="A15" s="296" t="str">
        <x:v>Lunch</x:v>
      </x:c>
      <x:c r="B15" s="297" t="n">
        <x:f>COUNTIF('Demo Shift Entries'!B5:B14,A15)</x:f>
        <x:v>3</x:v>
      </x:c>
      <x:c r="C15" s="298" t="n">
        <x:f>SUMIF('Demo Shift Entries'!B5:B14,A15,'Demo Shift Entries'!E5:E14)</x:f>
        <x:v>168</x:v>
      </x:c>
      <x:c r="D15" s="299" t="n">
        <x:f>IFERROR(AVERAGEIF('Demo Shift Entries'!B5:B14,A15,'Demo Shift Entries'!F5:F14),"")</x:f>
        <x:v>16.5</x:v>
      </x:c>
      <x:c r="E15" s="100"/>
      <x:c r="F15" s="100"/>
      <x:c r="G15" s="100"/>
      <x:c r="H15" s="100"/>
      <x:c r="I15" s="100"/>
      <x:c r="J15" s="100"/>
      <x:c r="K15" s="100"/>
      <x:c r="L15" s="100"/>
      <x:c r="M15" s="100"/>
    </x:row>
    <x:row r="16">
      <x:c r="A16" s="300" t="str">
        <x:v>Dinner</x:v>
      </x:c>
      <x:c r="B16" s="301" t="n">
        <x:f>COUNTIF('Demo Shift Entries'!B5:B14,A16)</x:f>
        <x:v>3</x:v>
      </x:c>
      <x:c r="C16" s="302" t="n">
        <x:f>SUMIF('Demo Shift Entries'!B5:B14,A16,'Demo Shift Entries'!E5:E14)</x:f>
        <x:v>534.5</x:v>
      </x:c>
      <x:c r="D16" s="303" t="n">
        <x:f>IFERROR(AVERAGEIF('Demo Shift Entries'!B5:B14,A16,'Demo Shift Entries'!F5:F14),"")</x:f>
        <x:v>28.666666666666668</x:v>
      </x:c>
      <x:c r="E16" s="100"/>
      <x:c r="F16" s="100"/>
      <x:c r="G16" s="100"/>
      <x:c r="H16" s="100"/>
      <x:c r="I16" s="100"/>
      <x:c r="J16" s="100"/>
      <x:c r="K16" s="100"/>
      <x:c r="L16" s="100"/>
      <x:c r="M16" s="100"/>
    </x:row>
    <x:row r="17">
      <x:c r="A17" s="300" t="str">
        <x:v>Open</x:v>
      </x:c>
      <x:c r="B17" s="301" t="n">
        <x:f>COUNTIF('Demo Shift Entries'!B5:B14,A17)</x:f>
        <x:v>1</x:v>
      </x:c>
      <x:c r="C17" s="302" t="n">
        <x:f>SUMIF('Demo Shift Entries'!B5:B14,A17,'Demo Shift Entries'!E5:E14)</x:f>
        <x:v>94.5</x:v>
      </x:c>
      <x:c r="D17" s="303" t="n">
        <x:f>IFERROR(AVERAGEIF('Demo Shift Entries'!B5:B14,A17,'Demo Shift Entries'!F5:F14),"")</x:f>
        <x:v>21</x:v>
      </x:c>
      <x:c r="E17" s="100"/>
      <x:c r="F17" s="100"/>
      <x:c r="G17" s="100"/>
      <x:c r="H17" s="100"/>
      <x:c r="I17" s="100"/>
      <x:c r="J17" s="100"/>
      <x:c r="K17" s="100"/>
      <x:c r="L17" s="100"/>
      <x:c r="M17" s="100"/>
    </x:row>
    <x:row r="18">
      <x:c r="A18" s="300" t="str">
        <x:v>Close</x:v>
      </x:c>
      <x:c r="B18" s="301" t="n">
        <x:f>COUNTIF('Demo Shift Entries'!B5:B14,A18)</x:f>
        <x:v>2</x:v>
      </x:c>
      <x:c r="C18" s="302" t="n">
        <x:f>SUMIF('Demo Shift Entries'!B5:B14,A18,'Demo Shift Entries'!E5:E14)</x:f>
        <x:v>116</x:v>
      </x:c>
      <x:c r="D18" s="303" t="n">
        <x:f>IFERROR(AVERAGEIF('Demo Shift Entries'!B5:B14,A18,'Demo Shift Entries'!F5:F14),"")</x:f>
        <x:v>11.6</x:v>
      </x:c>
      <x:c r="E18" s="100"/>
      <x:c r="F18" s="100"/>
      <x:c r="G18" s="100"/>
      <x:c r="H18" s="100"/>
      <x:c r="I18" s="100"/>
      <x:c r="J18" s="100"/>
      <x:c r="K18" s="100"/>
      <x:c r="L18" s="100"/>
      <x:c r="M18" s="100"/>
    </x:row>
    <x:row r="19">
      <x:c r="A19" s="304" t="str">
        <x:v>Double</x:v>
      </x:c>
      <x:c r="B19" s="305" t="n">
        <x:f>COUNTIF('Demo Shift Entries'!B5:B14,A19)</x:f>
        <x:v>1</x:v>
      </x:c>
      <x:c r="C19" s="306" t="n">
        <x:f>SUMIF('Demo Shift Entries'!B5:B14,A19,'Demo Shift Entries'!E5:E14)</x:f>
        <x:v>288</x:v>
      </x:c>
      <x:c r="D19" s="307" t="n">
        <x:f>IFERROR(AVERAGEIF('Demo Shift Entries'!B5:B14,A19,'Demo Shift Entries'!F5:F14),"")</x:f>
        <x:v>36</x:v>
      </x:c>
      <x:c r="E19" s="100"/>
      <x:c r="F19" s="100"/>
      <x:c r="G19" s="100"/>
      <x:c r="H19" s="100"/>
      <x:c r="I19" s="100"/>
      <x:c r="J19" s="100"/>
      <x:c r="K19" s="100"/>
      <x:c r="L19" s="100"/>
      <x:c r="M19" s="100"/>
    </x:row>
    <x:row r="20">
      <x:c r="A20" s="100"/>
      <x:c r="B20" s="100"/>
      <x:c r="C20" s="100"/>
      <x:c r="D20" s="100"/>
      <x:c r="E20" s="100"/>
      <x:c r="F20" s="100"/>
      <x:c r="G20" s="100"/>
      <x:c r="H20" s="100"/>
      <x:c r="I20" s="100"/>
      <x:c r="J20" s="100"/>
      <x:c r="K20" s="100"/>
      <x:c r="L20" s="100"/>
      <x:c r="M20" s="100"/>
    </x:row>
    <x:row r="21" ht="25" customHeight="1">
      <x:c r="A21" s="101" t="str">
        <x:v>How to interpret this prototype</x:v>
      </x:c>
      <x:c r="B21" s="101" t="str">
        <x:v>How to interpret this prototype</x:v>
      </x:c>
      <x:c r="C21" s="101" t="str">
        <x:v>How to interpret this prototype</x:v>
      </x:c>
      <x:c r="D21" s="101" t="str">
        <x:v>How to interpret this prototype</x:v>
      </x:c>
      <x:c r="E21" s="100"/>
      <x:c r="F21" s="100"/>
      <x:c r="G21" s="100"/>
      <x:c r="H21" s="100"/>
      <x:c r="I21" s="100"/>
      <x:c r="J21" s="100"/>
      <x:c r="K21" s="100"/>
      <x:c r="L21" s="100"/>
      <x:c r="M21" s="100"/>
    </x:row>
    <x:row r="22" ht="25" customHeight="1">
      <x:c r="A22" s="308"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2" s="309"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2" s="309"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2" s="310"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2" s="100"/>
      <x:c r="F22" s="100"/>
      <x:c r="G22" s="100"/>
      <x:c r="H22" s="100"/>
      <x:c r="I22" s="100"/>
      <x:c r="J22" s="100"/>
      <x:c r="K22" s="100"/>
      <x:c r="L22" s="100"/>
      <x:c r="M22" s="100"/>
    </x:row>
    <x:row r="23" ht="25" customHeight="1">
      <x:c r="A23" s="311"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3"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3"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3" s="313"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3" s="100"/>
      <x:c r="F23" s="100"/>
      <x:c r="G23" s="100"/>
      <x:c r="H23" s="100"/>
      <x:c r="I23" s="100"/>
      <x:c r="J23" s="100"/>
      <x:c r="K23" s="100"/>
      <x:c r="L23" s="100"/>
      <x:c r="M23" s="100"/>
    </x:row>
    <x:row r="24" ht="25" customHeight="1">
      <x:c r="A24" s="311"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4"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4"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4" s="313"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4" s="100"/>
      <x:c r="F24" s="100"/>
      <x:c r="G24" s="100"/>
      <x:c r="H24" s="100"/>
      <x:c r="I24" s="100"/>
      <x:c r="J24" s="100"/>
      <x:c r="K24" s="100"/>
      <x:c r="L24" s="100"/>
      <x:c r="M24" s="100"/>
    </x:row>
    <x:row r="25" ht="25" customHeight="1">
      <x:c r="A25" s="311"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5"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5"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5" s="313"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5" s="100"/>
      <x:c r="F25" s="100"/>
      <x:c r="G25" s="100"/>
      <x:c r="H25" s="100"/>
      <x:c r="I25" s="100"/>
      <x:c r="J25" s="100"/>
      <x:c r="K25" s="100"/>
      <x:c r="L25" s="100"/>
      <x:c r="M25" s="100"/>
    </x:row>
    <x:row r="26" ht="25" customHeight="1">
      <x:c r="A26" s="311"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6"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6" s="312"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6" s="313"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6" s="100"/>
      <x:c r="F26" s="100"/>
      <x:c r="G26" s="100"/>
      <x:c r="H26" s="100"/>
      <x:c r="I26" s="100"/>
      <x:c r="J26" s="100"/>
      <x:c r="K26" s="100"/>
      <x:c r="L26" s="100"/>
      <x:c r="M26" s="100"/>
    </x:row>
    <x:row r="27" ht="25" customHeight="1">
      <x:c r="A27" s="314"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B27" s="315"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C27" s="315"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D27" s="316" t="str">
        <x:v>The synthetic records are deliberately varied so the dashboard can demonstrate totals, rates, grouped comparisons, zero-denominator handling, and rating boundaries. The displayed patterns are test output only. They are not research findings, user outcomes, or recommendations about real shifts.</x:v>
      </x:c>
      <x:c r="E27" s="100"/>
      <x:c r="F27" s="100"/>
      <x:c r="G27" s="100"/>
      <x:c r="H27" s="100"/>
      <x:c r="I27" s="100"/>
      <x:c r="J27" s="100"/>
      <x:c r="K27" s="100"/>
      <x:c r="L27" s="100"/>
      <x:c r="M27" s="100"/>
    </x:row>
    <x:row r="28">
      <x:c r="A28" s="100"/>
      <x:c r="B28" s="100"/>
      <x:c r="C28" s="100"/>
      <x:c r="D28" s="100"/>
      <x:c r="E28" s="100"/>
      <x:c r="F28" s="100"/>
      <x:c r="G28" s="100"/>
      <x:c r="H28" s="100"/>
      <x:c r="I28" s="100"/>
      <x:c r="J28" s="100"/>
      <x:c r="K28" s="100"/>
      <x:c r="L28" s="100"/>
      <x:c r="M28" s="100"/>
    </x:row>
    <x:row r="30">
      <x:c r="F30" t="str">
        <x:v>Shift Type</x:v>
      </x:c>
      <x:c r="G30" t="str">
        <x:v>Average Tips/Hour</x:v>
      </x:c>
    </x:row>
    <x:row r="31">
      <x:c r="F31" t="str">
        <x:f>A15</x:f>
        <x:v>Lunch</x:v>
      </x:c>
      <x:c r="G31" t="n">
        <x:f>D15</x:f>
        <x:v>16.5</x:v>
      </x:c>
    </x:row>
    <x:row r="32">
      <x:c r="F32" t="str">
        <x:f>A16</x:f>
        <x:v>Dinner</x:v>
      </x:c>
      <x:c r="G32" t="n">
        <x:f>D16</x:f>
        <x:v>28.666666666666668</x:v>
      </x:c>
    </x:row>
    <x:row r="33">
      <x:c r="F33" t="str">
        <x:f>A17</x:f>
        <x:v>Open</x:v>
      </x:c>
      <x:c r="G33" t="n">
        <x:f>D17</x:f>
        <x:v>21</x:v>
      </x:c>
    </x:row>
    <x:row r="34">
      <x:c r="F34" t="str">
        <x:f>A18</x:f>
        <x:v>Close</x:v>
      </x:c>
      <x:c r="G34" t="n">
        <x:f>D18</x:f>
        <x:v>11.6</x:v>
      </x:c>
    </x:row>
    <x:row r="35">
      <x:c r="F35" t="str">
        <x:f>A19</x:f>
        <x:v>Double</x:v>
      </x:c>
      <x:c r="G35" t="n">
        <x:f>D19</x:f>
        <x:v>36</x:v>
      </x:c>
    </x:row>
  </x:sheetData>
  <x:mergeCells>
    <x:mergeCell ref="A1:M1"/>
    <x:mergeCell ref="A2:M2"/>
    <x:mergeCell ref="A4:B4"/>
    <x:mergeCell ref="A5:B6"/>
    <x:mergeCell ref="C4:D4"/>
    <x:mergeCell ref="C5:D6"/>
    <x:mergeCell ref="E4:F4"/>
    <x:mergeCell ref="E5:F6"/>
    <x:mergeCell ref="G4:H4"/>
    <x:mergeCell ref="G5:H6"/>
    <x:mergeCell ref="A8:B8"/>
    <x:mergeCell ref="A9:B10"/>
    <x:mergeCell ref="C8:D8"/>
    <x:mergeCell ref="C9:D10"/>
    <x:mergeCell ref="E8:F8"/>
    <x:mergeCell ref="E9:F10"/>
    <x:mergeCell ref="G8:H8"/>
    <x:mergeCell ref="G9:H10"/>
    <x:mergeCell ref="A13:D13"/>
    <x:mergeCell ref="A21:D21"/>
    <x:mergeCell ref="A22:D27"/>
  </x:mergeCells>
  <x:pageMargins left="0.7" right="0.7" top="0.75" bottom="0.75" header="0.3" footer="0.3"/>
  <x:drawing xmlns:r="http://schemas.openxmlformats.org/officeDocument/2006/relationships" r:id="Rd1bea4a2e7f54b3c"/>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15" hidden="0" customWidth="1"/>
    <x:col min="4" max="4" width="15" hidden="0" customWidth="1"/>
    <x:col min="5" max="5" width="12" hidden="0" customWidth="1"/>
    <x:col min="6" max="6" width="35" hidden="0" customWidth="1"/>
  </x:cols>
  <x:sheetData>
    <x:row r="1" ht="36" customHeight="1">
      <x:c r="A1" s="98" t="str">
        <x:v>QA Evidence - Controlled Calculation Checks</x:v>
      </x:c>
      <x:c r="B1" s="98" t="str">
        <x:v>QA Evidence - Controlled Calculation Checks</x:v>
      </x:c>
      <x:c r="C1" s="98" t="str">
        <x:v>QA Evidence - Controlled Calculation Checks</x:v>
      </x:c>
      <x:c r="D1" s="98" t="str">
        <x:v>QA Evidence - Controlled Calculation Checks</x:v>
      </x:c>
      <x:c r="E1" s="98" t="str">
        <x:v>QA Evidence - Controlled Calculation Checks</x:v>
      </x:c>
      <x:c r="F1" s="98" t="str">
        <x:v>QA Evidence - Controlled Calculation Checks</x:v>
      </x:c>
    </x:row>
    <x:row r="2">
      <x:c r="A2" s="178" t="str">
        <x:v>Expected results were calculated from the synthetic baseline and compared with workbook formulas.</x:v>
      </x:c>
      <x:c r="B2" s="178" t="str">
        <x:v>Expected results were calculated from the synthetic baseline and compared with workbook formulas.</x:v>
      </x:c>
      <x:c r="C2" s="178" t="str">
        <x:v>Expected results were calculated from the synthetic baseline and compared with workbook formulas.</x:v>
      </x:c>
      <x:c r="D2" s="178" t="str">
        <x:v>Expected results were calculated from the synthetic baseline and compared with workbook formulas.</x:v>
      </x:c>
      <x:c r="E2" s="178" t="str">
        <x:v>Expected results were calculated from the synthetic baseline and compared with workbook formulas.</x:v>
      </x:c>
      <x:c r="F2" s="178" t="str">
        <x:v>Expected results were calculated from the synthetic baseline and compared with workbook formulas.</x:v>
      </x:c>
    </x:row>
    <x:row r="3">
      <x:c r="A3" s="100"/>
      <x:c r="B3" s="100"/>
      <x:c r="C3" s="100"/>
      <x:c r="D3" s="100"/>
      <x:c r="E3" s="100"/>
      <x:c r="F3" s="100"/>
    </x:row>
    <x:row r="4" ht="28" customHeight="1">
      <x:c r="A4" s="347" t="str">
        <x:v>Test ID</x:v>
      </x:c>
      <x:c r="B4" s="347" t="str">
        <x:v>Metric / behavior</x:v>
      </x:c>
      <x:c r="C4" s="347" t="str">
        <x:v>Expected</x:v>
      </x:c>
      <x:c r="D4" s="347" t="str">
        <x:v>Actual</x:v>
      </x:c>
      <x:c r="E4" s="347" t="str">
        <x:v>Status</x:v>
      </x:c>
      <x:c r="F4" s="347" t="str">
        <x:v>Reason</x:v>
      </x:c>
    </x:row>
    <x:row r="5" ht="28" customHeight="1">
      <x:c r="A5" s="348" t="str">
        <x:v>DEMO-QA-001</x:v>
      </x:c>
      <x:c r="B5" s="349" t="str">
        <x:v>Total shift count</x:v>
      </x:c>
      <x:c r="C5" s="350" t="n">
        <x:v>10</x:v>
      </x:c>
      <x:c r="D5" s="350" t="n">
        <x:f>'Dashboard'!A5</x:f>
        <x:v>10</x:v>
      </x:c>
      <x:c r="E5" s="351" t="str">
        <x:f>IF(ABS(C5-D5)&lt;0.001,"PASS","FAIL")</x:f>
        <x:v>PASS</x:v>
      </x:c>
      <x:c r="F5" s="352" t="str">
        <x:v>Confirms every synthetic record is counted.</x:v>
      </x:c>
    </x:row>
    <x:row r="6" ht="28" customHeight="1">
      <x:c r="A6" s="353" t="str">
        <x:v>DEMO-QA-002</x:v>
      </x:c>
      <x:c r="B6" s="354" t="str">
        <x:v>Total hours</x:v>
      </x:c>
      <x:c r="C6" s="355" t="n">
        <x:v>51</x:v>
      </x:c>
      <x:c r="D6" s="355" t="n">
        <x:f>'Dashboard'!C5</x:f>
        <x:v>51</x:v>
      </x:c>
      <x:c r="E6" s="356" t="str">
        <x:f>IF(ABS(C6-D6)&lt;0.001,"PASS","FAIL")</x:f>
        <x:v>PASS</x:v>
      </x:c>
      <x:c r="F6" s="357" t="str">
        <x:v>Includes decimal hours and the zero-value record.</x:v>
      </x:c>
    </x:row>
    <x:row r="7" ht="28" customHeight="1">
      <x:c r="A7" s="353" t="str">
        <x:v>DEMO-QA-003</x:v>
      </x:c>
      <x:c r="B7" s="354" t="str">
        <x:v>Total sales</x:v>
      </x:c>
      <x:c r="C7" s="358" t="n">
        <x:v>7085</x:v>
      </x:c>
      <x:c r="D7" s="358" t="n">
        <x:f>'Dashboard'!E5</x:f>
        <x:v>7085</x:v>
      </x:c>
      <x:c r="E7" s="356" t="str">
        <x:f>IF(ABS(C7-D7)&lt;0.001,"PASS","FAIL")</x:f>
        <x:v>PASS</x:v>
      </x:c>
      <x:c r="F7" s="357" t="str">
        <x:v>Sum of controlled sales inputs.</x:v>
      </x:c>
    </x:row>
    <x:row r="8" ht="28" customHeight="1">
      <x:c r="A8" s="353" t="str">
        <x:v>DEMO-QA-004</x:v>
      </x:c>
      <x:c r="B8" s="354" t="str">
        <x:v>Total tips</x:v>
      </x:c>
      <x:c r="C8" s="358" t="n">
        <x:v>1201</x:v>
      </x:c>
      <x:c r="D8" s="358" t="n">
        <x:f>'Dashboard'!G5</x:f>
        <x:v>1201</x:v>
      </x:c>
      <x:c r="E8" s="356" t="str">
        <x:f>IF(ABS(C8-D8)&lt;0.001,"PASS","FAIL")</x:f>
        <x:v>PASS</x:v>
      </x:c>
      <x:c r="F8" s="357" t="str">
        <x:v>Sum of controlled tip inputs.</x:v>
      </x:c>
    </x:row>
    <x:row r="9" ht="28" customHeight="1">
      <x:c r="A9" s="353" t="str">
        <x:v>DEMO-QA-005</x:v>
      </x:c>
      <x:c r="B9" s="354" t="str">
        <x:v>Recognition rate</x:v>
      </x:c>
      <x:c r="C9" s="359" t="n">
        <x:v>0.6</x:v>
      </x:c>
      <x:c r="D9" s="359" t="n">
        <x:f>'Dashboard'!E9</x:f>
        <x:v>0.6</x:v>
      </x:c>
      <x:c r="E9" s="356" t="str">
        <x:f>IF(ABS(C9-D9)&lt;0.001,"PASS","FAIL")</x:f>
        <x:v>PASS</x:v>
      </x:c>
      <x:c r="F9" s="357" t="str">
        <x:v>Six Yes values across ten records.</x:v>
      </x:c>
    </x:row>
    <x:row r="10" ht="28" customHeight="1">
      <x:c r="A10" s="353" t="str">
        <x:v>DEMO-QA-006</x:v>
      </x:c>
      <x:c r="B10" s="354" t="str">
        <x:v>Would-work-again rate</x:v>
      </x:c>
      <x:c r="C10" s="359" t="n">
        <x:v>0.8</x:v>
      </x:c>
      <x:c r="D10" s="359" t="n">
        <x:f>'Dashboard'!G9</x:f>
        <x:v>0.8</x:v>
      </x:c>
      <x:c r="E10" s="356" t="str">
        <x:f>IF(ABS(C10-D10)&lt;0.001,"PASS","FAIL")</x:f>
        <x:v>PASS</x:v>
      </x:c>
      <x:c r="F10" s="357" t="str">
        <x:v>Eight Yes values across ten records.</x:v>
      </x:c>
    </x:row>
    <x:row r="11" ht="28" customHeight="1">
      <x:c r="A11" s="353" t="str">
        <x:v>DEMO-QA-007</x:v>
      </x:c>
      <x:c r="B11" s="354" t="str">
        <x:v>Average mood</x:v>
      </x:c>
      <x:c r="C11" s="360" t="n">
        <x:v>3.4</x:v>
      </x:c>
      <x:c r="D11" s="360" t="n">
        <x:f>'Dashboard'!C9</x:f>
        <x:v>3.4</x:v>
      </x:c>
      <x:c r="E11" s="356" t="str">
        <x:f>IF(ABS(C11-D11)&lt;0.001,"PASS","FAIL")</x:f>
        <x:v>PASS</x:v>
      </x:c>
      <x:c r="F11" s="357" t="str">
        <x:v>Mean of ten controlled 1-5 ratings.</x:v>
      </x:c>
    </x:row>
    <x:row r="12" ht="28" customHeight="1">
      <x:c r="A12" s="353" t="str">
        <x:v>DEMO-QA-008</x:v>
      </x:c>
      <x:c r="B12" s="354" t="str">
        <x:v>Average management support</x:v>
      </x:c>
      <x:c r="C12" s="360" t="n">
        <x:v>3.5</x:v>
      </x:c>
      <x:c r="D12" s="360" t="n">
        <x:f>AVERAGE('Demo Shift Entries'!J5:J14)</x:f>
        <x:v>3.5</x:v>
      </x:c>
      <x:c r="E12" s="356" t="str">
        <x:f>IF(ABS(C12-D12)&lt;0.001,"PASS","FAIL")</x:f>
        <x:v>PASS</x:v>
      </x:c>
      <x:c r="F12" s="357" t="str">
        <x:v>Mean of ten controlled 1-5 ratings.</x:v>
      </x:c>
    </x:row>
    <x:row r="13" ht="28" customHeight="1">
      <x:c r="A13" s="353" t="str">
        <x:v>DEMO-QA-009</x:v>
      </x:c>
      <x:c r="B13" s="354" t="str">
        <x:v>Zero hours returns blank Tips/Hour</x:v>
      </x:c>
      <x:c r="C13" s="355" t="str">
        <x:v>Blank</x:v>
      </x:c>
      <x:c r="D13" s="355" t="str">
        <x:f>IF('Demo Shift Entries'!F9="","Blank","Not blank")</x:f>
        <x:v>Blank</x:v>
      </x:c>
      <x:c r="E13" s="356" t="str">
        <x:f>IF(C13=D13,"PASS","FAIL")</x:f>
        <x:v>PASS</x:v>
      </x:c>
      <x:c r="F13" s="357" t="str">
        <x:v>Prevents a divide-by-zero result.</x:v>
      </x:c>
    </x:row>
    <x:row r="14" ht="28" customHeight="1">
      <x:c r="A14" s="361" t="str">
        <x:v>DEMO-QA-010</x:v>
      </x:c>
      <x:c r="B14" s="362" t="str">
        <x:v>Zero sales returns blank Tip %</x:v>
      </x:c>
      <x:c r="C14" s="363" t="str">
        <x:v>Blank</x:v>
      </x:c>
      <x:c r="D14" s="363" t="str">
        <x:f>IF('Demo Shift Entries'!G9="","Blank","Not blank")</x:f>
        <x:v>Blank</x:v>
      </x:c>
      <x:c r="E14" s="364" t="str">
        <x:f>IF(C14=D14,"PASS","FAIL")</x:f>
        <x:v>PASS</x:v>
      </x:c>
      <x:c r="F14" s="365" t="str">
        <x:v>Prevents a divide-by-zero result.</x:v>
      </x:c>
    </x:row>
  </x:sheetData>
  <x:mergeCells>
    <x:mergeCell ref="A1:F1"/>
    <x:mergeCell ref="A2:F2"/>
  </x:mergeCells>
  <x:conditionalFormatting sqref="E5:E14">
    <x:cfRule type="containsText" dxfId="0" priority="1" operator="containsText" text="PASS"/>
    <x:cfRule type="containsText" dxfId="1" priority="2" operator="containsText" text="FAIL"/>
  </x:conditionalFormatting>
  <x:pageMargins left="0.7" right="0.7" top="0.75" bottom="0.75" header="0.3" footer="0.3"/>
</x:worksheet>
</file>